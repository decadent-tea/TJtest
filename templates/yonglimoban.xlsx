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用例清单" sheetId="1" r:id="rId1"/>
    <sheet name="断言明细" sheetId="2" r:id="rId2"/>
  </sheets>
  <definedNames>
    <definedName name="_xlnm._FilterDatabase" localSheetId="0" hidden="1">用例清单!$A$6:$P$75</definedName>
    <definedName name="_xlnm._FilterDatabase" localSheetId="1" hidden="1">断言明细!$A$3:$J$72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<sst xmlns="http://schemas.openxmlformats.org/spreadsheetml/2006/main" count="1418" uniqueCount="293">
  <si>
    <t>生产动态系统接口自动化测试用例</t>
  </si>
  <si>
    <t>项目名称</t>
  </si>
  <si>
    <t>生产动态系统</t>
  </si>
  <si>
    <t>总计</t>
  </si>
  <si>
    <t>通过</t>
  </si>
  <si>
    <t>失败</t>
  </si>
  <si>
    <t>跳过</t>
  </si>
  <si>
    <t>通过率</t>
  </si>
  <si>
    <t>数据来源</t>
  </si>
  <si>
    <t>本次运行快照</t>
  </si>
  <si>
    <t>接口步骤清单</t>
  </si>
  <si>
    <t>序号</t>
  </si>
  <si>
    <t>功能模块①</t>
  </si>
  <si>
    <t>功能模块②</t>
  </si>
  <si>
    <t>功能模块③</t>
  </si>
  <si>
    <t>接口用例名称</t>
  </si>
  <si>
    <t>请求方式</t>
  </si>
  <si>
    <t>接口路由</t>
  </si>
  <si>
    <t>请求 Header</t>
  </si>
  <si>
    <t>Query 参数</t>
  </si>
  <si>
    <t>请求 Body</t>
  </si>
  <si>
    <t>超时(ms)</t>
  </si>
  <si>
    <t>预期断言</t>
  </si>
  <si>
    <t>执行结果</t>
  </si>
  <si>
    <t>状态码</t>
  </si>
  <si>
    <t>耗时(ms)</t>
  </si>
  <si>
    <t>错误信息</t>
  </si>
  <si>
    <t>—</t>
  </si>
  <si>
    <t>登录</t>
  </si>
  <si>
    <t>POST</t>
  </si>
  <si>
    <t>/api/blade-auth/oauth/token</t>
  </si>
  <si>
    <t>{
  "captcha-key": "8ceba489-cf2c-4661-8dea-bb612e2ad26d",
  "content-type": "application/json",
  "authorization": "••••••••"
}</t>
  </si>
  <si>
    <t>{
  "type": "account",
  "scope": "all",
  "password": "••••••••",
  "tenantId": "000000",
  "username": "004@qa_wangdong",
  "grant_type": "password"
}</t>
  </si>
  <si>
    <t>STATUS · EQUALS · 期望 200</t>
  </si>
  <si>
    <t>已提取变量 access_token</t>
  </si>
  <si>
    <t>采掘进尺看板</t>
  </si>
  <si>
    <t>采掘进尺看板8</t>
  </si>
  <si>
    <t>GET</t>
  </si>
  <si>
    <t>/mine-biz/miningManagement/mineBizHome/homeFootageStatistics</t>
  </si>
  <si>
    <t>{
  "blade-auth": "bearer ***",
  "content-type": "application/json",
  "authorization": "••••••••"
}</t>
  </si>
  <si>
    <t>{
  "type": "juejin",
  "dateType": "year",
  "companyCode": ""
}</t>
  </si>
  <si>
    <t>BODY_CONTAINS · CONTAINS · 期望 "msg":"操作成功"</t>
  </si>
  <si>
    <t>采掘进尺看板10</t>
  </si>
  <si>
    <t>/api/blade-system/dept/getCompanyAndMineList</t>
  </si>
  <si>
    <t>采掘进尺看板5</t>
  </si>
  <si>
    <t>/mine-biz/miningManagement/cjglDayChangliang/selectMessage</t>
  </si>
  <si>
    <t>{
  "code": "",
  "type": "jituan"
}</t>
  </si>
  <si>
    <t>采掘进尺看板6</t>
  </si>
  <si>
    <t>/mine-biz/miningManagement/mineBizHome/getOrgStatistics</t>
  </si>
  <si>
    <t>{
  "mineArea": "",
  "mineCode": "",
  "companyCode": ""
}</t>
  </si>
  <si>
    <t>采掘进尺看板7</t>
  </si>
  <si>
    <t>/mine-biz/miningManagement/cjglDayJuejin/getDrivingByDeptArea</t>
  </si>
  <si>
    <t>{
  "type": "jihua",
  "orgId": "",
  "dateType": "year"
}</t>
  </si>
  <si>
    <t>采掘进尺看板13</t>
  </si>
  <si>
    <t>/api/blade-system/dept/getDeptLngAndLat</t>
  </si>
  <si>
    <t>{
  "companyCode": ""
}</t>
  </si>
  <si>
    <t>采掘进尺看板14</t>
  </si>
  <si>
    <t>/interface/monitor/systemMonitor/statisticsByDept</t>
  </si>
  <si>
    <t>{
  "sid": "990",
  "companyCode": ""
}</t>
  </si>
  <si>
    <t>BODY_CONTAINS · CONTAINS · 期望 "status":"10000"</t>
  </si>
  <si>
    <t>采掘进尺看板11</t>
  </si>
  <si>
    <t>/mine-biz/miningManagement/mineBizHome/coalFootageStatistics</t>
  </si>
  <si>
    <t>{
  "type": "year",
  "deptCode": ""
}</t>
  </si>
  <si>
    <t>采掘进尺看板12</t>
  </si>
  <si>
    <t>/mine-biz/miningManagement/mineBizHome/footageStatistics</t>
  </si>
  <si>
    <t>采掘进尺看板9</t>
  </si>
  <si>
    <t>/api/bladeOrg/org/getAuthCompanyOrg</t>
  </si>
  <si>
    <t>采掘进尺看板2</t>
  </si>
  <si>
    <t>/mine-biz/miningManagement/mineBizHome/footageYieldDeviation</t>
  </si>
  <si>
    <t>{
  "faceType": "coal"
}</t>
  </si>
  <si>
    <t>采掘进尺看板3</t>
  </si>
  <si>
    <t>/mine-biz/miningManagement/mineBizHome/getFaceGatherByType</t>
  </si>
  <si>
    <t>{
  "faceType": "head"
}</t>
  </si>
  <si>
    <t>采掘进尺看板4</t>
  </si>
  <si>
    <t>采掘进尺看板1</t>
  </si>
  <si>
    <t>进尺调度看板</t>
  </si>
  <si>
    <t>进尺调度看板2</t>
  </si>
  <si>
    <t>进尺调度看板1</t>
  </si>
  <si>
    <t>进尺调度看板4</t>
  </si>
  <si>
    <t>{
  "mineCode": "",
  "companyCode": ""
}</t>
  </si>
  <si>
    <t>进尺调度看板5</t>
  </si>
  <si>
    <t>/mine-biz/miningManagement/reportOverview/yesterdayDataUpload</t>
  </si>
  <si>
    <t>进尺调度看板6</t>
  </si>
  <si>
    <t>/mine-biz/miningManagement/mineBizHome/getYearCoalTotal</t>
  </si>
  <si>
    <t>进尺调度看板7</t>
  </si>
  <si>
    <t>/mine-biz/miningManagement/mineBizHome/getYearHeadTotal</t>
  </si>
  <si>
    <t>进尺调度看板8</t>
  </si>
  <si>
    <t>/push-msg/indictor/jcCount</t>
  </si>
  <si>
    <t>{
  "endTime": "2023-12-28 23:59:59",
  "mineCode": "",
  "startTime": "2023-12-28 00:00:00",
  "companyCode": ""
}</t>
  </si>
  <si>
    <t>进尺调度看板9</t>
  </si>
  <si>
    <t>{
  "endTime": "2023-12-31",
  "mineCode": "",
  "startTime": "2023-12-01",
  "companyCode": ""
}</t>
  </si>
  <si>
    <t>进尺调度看板10</t>
  </si>
  <si>
    <t>/push-msg/indictor/yieldCount</t>
  </si>
  <si>
    <t>进尺调度看板3</t>
  </si>
  <si>
    <t>进尺调度看板11</t>
  </si>
  <si>
    <t>进尺调度看板12</t>
  </si>
  <si>
    <t>/push-msg/indictor/alertIndictor/historyRecord</t>
  </si>
  <si>
    <t>{
  "orgCode": "",
  "pageNum": "1",
  "mineCode": "",
  "pageSize": "30",
  "handleStatus": "0"
}</t>
  </si>
  <si>
    <t>采掘统计看板</t>
  </si>
  <si>
    <t>采掘统计看板1</t>
  </si>
  <si>
    <t>/api/bladeOrg/org/getCoalMineByCode</t>
  </si>
  <si>
    <t>{
  "deptArea": "",
  "companyCode": ""
}</t>
  </si>
  <si>
    <t>采掘统计看板2</t>
  </si>
  <si>
    <t>/mine-biz/miningManagement/cjglActualMessage/juejinMessage</t>
  </si>
  <si>
    <t>{
  "tjwd": "tianbao,chengzhong,cjjs",
  "type": "month",
  "deptId": "",
  "endTime": "2023-12-31",
  "deptArea": "",
  "faceType": "回采",
  "mineCode": "",
  "startTime": "2023-12-01",
  "coalStatus": "",
  "tunnelType": "",
  "workplaceId": "",
  "tunnelStatus": ""
}</t>
  </si>
  <si>
    <t>采掘统计看板5</t>
  </si>
  <si>
    <t>/mine-biz/miningManagement/reportOverview/getQuarterFootageStatistic</t>
  </si>
  <si>
    <t>{
  "deptArea": "",
  "faceType": "tianbao",
  "mineCode": "",
  "companyCode": ""
}</t>
  </si>
  <si>
    <t>采掘统计看板4</t>
  </si>
  <si>
    <t>/mine-biz/miningManagement/reportOverview/accumulativeFootageStatistic</t>
  </si>
  <si>
    <t>{
  "endDate": "2023-12-31",
  "deptArea": "",
  "faceType": "tianbao",
  "mineCode": "",
  "startDate": "2023-01-01",
  "companyCode": ""
}</t>
  </si>
  <si>
    <t>采掘统计看板6</t>
  </si>
  <si>
    <t>/mine-biz/miningManagement/reportOverview/areaAccumulativeFootageStatistic</t>
  </si>
  <si>
    <t>{
  "endDate": "2023-12-31",
  "faceType": "tianbao",
  "startDate": "2023-01-01",
  "companyCode": ""
}</t>
  </si>
  <si>
    <t>采掘统计看板7</t>
  </si>
  <si>
    <t>/mine-biz/miningManagement/reportOverview/areaFootageStatistics</t>
  </si>
  <si>
    <t>{
  "type": "huicai",
  "endDate": "2023-12-31",
  "areaName": "",
  "dateType": "month",
  "mineCode": "",
  "startDate": "2023-12-01",
  "companyCode": ""
}</t>
  </si>
  <si>
    <t>采掘统计看板8</t>
  </si>
  <si>
    <t>/interface/monitor/systemMonitor/stateListOfCompany</t>
  </si>
  <si>
    <t>{
  "sid": "990",
  "size": "100",
  "current": "1",
  "companyCode": ""
}</t>
  </si>
  <si>
    <t>采掘统计看板9</t>
  </si>
  <si>
    <t>/push-msg/indictor/cjjcStatics</t>
  </si>
  <si>
    <t>{
  "area": "",
  "endTime": "2023-12-31",
  "mineCode": "",
  "startTime": "2023-12-01",
  "workFaceId": "",
  "companyCode": ""
}</t>
  </si>
  <si>
    <t>采掘统计看板10</t>
  </si>
  <si>
    <t>/mine-biz/miningManagement/reportOverview/footageUpload</t>
  </si>
  <si>
    <t>{
  "areaName": "",
  "mineCode": "",
  "companyCode": ""
}</t>
  </si>
  <si>
    <t>采掘统计看板11</t>
  </si>
  <si>
    <t>/mine-biz/miningManagement/reportOverview/faceMonitoringStatistics</t>
  </si>
  <si>
    <t>{
  "endDate": "2023-12-31",
  "areaName": "",
  "dateType": "month",
  "mineCode": "",
  "startDate": "2023-12-01",
  "companyCode": ""
}</t>
  </si>
  <si>
    <t>采掘统计看板12</t>
  </si>
  <si>
    <t>采掘统计看板3</t>
  </si>
  <si>
    <t>/mine-biz/miningManagement/cjglDayJuejin/selectFootageDeviation</t>
  </si>
  <si>
    <t>{
  "type": "month",
  "endTime": "2023-12-31",
  "deptArea": "",
  "deptCode": "",
  "faceType": "huicai",
  "mineCode": "",
  "startTime": "2023-12-01"
}</t>
  </si>
  <si>
    <t>掘进分类看板</t>
  </si>
  <si>
    <t>掘进分类看板3</t>
  </si>
  <si>
    <t>/mine-biz/miningManagement/mineBizHome/footageCoalRockTypeStatistics</t>
  </si>
  <si>
    <t>{
  "endDate": "2023-12-31",
  "dateType": "month",
  "deptArea": "",
  "startDate": "2023-12-01",
  "companyCode": ""
}</t>
  </si>
  <si>
    <t>掘进分类看板1</t>
  </si>
  <si>
    <t>/mine-biz/miningManagement/cjglDayJuejin/getDrivingTunnelType</t>
  </si>
  <si>
    <t>{
  "area": "",
  "orgId": "",
  "endDate": "2023-12-31",
  "dateType": "month",
  "startDate": "2023-12-01"
}</t>
  </si>
  <si>
    <t>掘进分类看板2</t>
  </si>
  <si>
    <t>/mine-biz/miningManagement/mineBizHome/footageTypeStatistics</t>
  </si>
  <si>
    <t>统计分析</t>
  </si>
  <si>
    <t>测量收尺台账查询</t>
  </si>
  <si>
    <t>/mine-biz/measureShouChi/list</t>
  </si>
  <si>
    <t>{
  "endTime": "",
  "pageNum": "1",
  "mineCode": "",
  "pageSize": "10",
  "startTime": "",
  "workFaceId": "",
  "companyCode": ""
}</t>
  </si>
  <si>
    <t>BODY_CONTAINS · CONTAINS · 期望 "msg":"查询成功"</t>
  </si>
  <si>
    <t>系统报备管理查询</t>
  </si>
  <si>
    <t>/mine-biz/miningManagement/cjglSystemChangemessage/listMessage</t>
  </si>
  <si>
    <t>{
  "orgId": "",
  "mineId": "",
  "endTime": "",
  "pageNum": "1",
  "pageSize": "10",
  "errorType": "",
  "startTime": "",
  "workplaceId": "",
  "workplaceType": "coal"
}</t>
  </si>
  <si>
    <t>数据填报统计查询</t>
  </si>
  <si>
    <t>/mine-biz/miningManagement/reportOverview/show</t>
  </si>
  <si>
    <t>{
  "endDate": "2023-12-27",
  "pageNum": "1",
  "coalCode": "",
  "deptArea": "",
  "deptCode": "",
  "pageSize": "10",
  "startDate": "2023-12-27",
  "workFaceName": ""
}</t>
  </si>
  <si>
    <t>月度分析报告查询</t>
  </si>
  <si>
    <t>/mine-biz/miningManagement/cjglFileMessage/listMessage</t>
  </si>
  <si>
    <t>{
  "type": "company",
  "orgId": "",
  "mineId": "",
  "endTime": "",
  "pageNum": "1",
  "pageSize": "10",
  "startTime": ""
}</t>
  </si>
  <si>
    <t>采掘进尺统计-掘进按单位进尺统计</t>
  </si>
  <si>
    <t>/mine-biz/miningManagement/cjglDayJuejin/juejinMessage</t>
  </si>
  <si>
    <t>{
  "tjwd": "jihua,tianbao,caiji",
  "type": "month",
  "deptId": "",
  "endTime": "2024-07-31",
  "deptArea": "",
  "faceType": "掘进",
  "mineCode": "",
  "startTime": "2024-07-01",
  "tunnelType": "",
  "workplaceId": ""
}</t>
  </si>
  <si>
    <t>采掘进尺统计-回采按单位进尺统计</t>
  </si>
  <si>
    <t>{
  "tjwd": "tianbao,caiji",
  "type": "month",
  "deptId": "",
  "endTime": "2024-07-31",
  "deptArea": "",
  "faceType": "回采",
  "mineCode": "",
  "startTime": "2024-07-01",
  "tunnelType": "",
  "workplaceId": ""
}</t>
  </si>
  <si>
    <t>工作面台账</t>
  </si>
  <si>
    <t>工作面信息获取</t>
  </si>
  <si>
    <t>/mine-biz/miningManagement/allWorkFace/getWorkFaceList</t>
  </si>
  <si>
    <t>{
  "orgId": "",
  "deptId": "",
  "pageNum": "1",
  "faceName": "",
  "pageSize": "10"
}</t>
  </si>
  <si>
    <t>日进尺数据获取</t>
  </si>
  <si>
    <t>/mine-biz/miningManagement/allHeadFillInAndGather/getFootageList</t>
  </si>
  <si>
    <t>{
  "orgId": "",
  "mineId": "",
  "endDate": "2026-08-10",
  "pageNum": "1",
  "pageSize": "10",
  "startDate": "2026-08-01",
  "faceStatus": "",
  "technology": "",
  "isUndoReason": "",
  "workplaceName": ""
}</t>
  </si>
  <si>
    <t>掘进日进尺数据</t>
  </si>
  <si>
    <t>{
  "orgId": "",
  "mineId": "",
  "endDate": " 2026-08-10",
  "pageNum": "1",
  "pageSize": "10",
  "startDate": "2026-07-10",
  "faceStatus": "",
  "technology": "",
  "isUndoReason": "",
  "workplaceName": "",
  "adjustValueFilter": ""
}</t>
  </si>
  <si>
    <t>回采日进尺数据</t>
  </si>
  <si>
    <t>{
  "orgId": "",
  "mineId": "",
  "endDate": "2026-08-11",
  "pageNum": "1",
  "pageSize": "10",
  "startDate": "2026-07-12",
  "faceStatus": "",
  "technology": "",
  "isUndoReason": "",
  "workplaceName": "",
  "adjustValueFilter": ""
}</t>
  </si>
  <si>
    <t>BODY_MATCHES · MATCHES · 期望 —</t>
  </si>
  <si>
    <t>预警报警</t>
  </si>
  <si>
    <t>实时预警报警记录查询</t>
  </si>
  <si>
    <t>{
  "endTime": "",
  "orgCode": "",
  "pageNum": "1",
  "messInfo": "",
  "messName": "",
  "mineCode": "",
  "pageSize": "20",
  "alarmType": "",
  "startTime": "",
  "handleStatus": "0",
  "miningFaceId": "",
  "startDuration": "",
  "miningFaceType": "",
  "specifyDuration": ""
}</t>
  </si>
  <si>
    <t>设备实时监测校验</t>
  </si>
  <si>
    <t>/interface/workingFace/locatorStatus/compositedPage</t>
  </si>
  <si>
    <t>{
  "size": "30",
  "current": "1",
  "mineCode": "",
  "companyCode": "",
  "workingFaceId": "",
  "workingFaceType": ""
}</t>
  </si>
  <si>
    <t>系统监控记录查询</t>
  </si>
  <si>
    <t>/interface/monitor/mineAliveStatistics/paged</t>
  </si>
  <si>
    <t>{
  "size": "10",
  "current": "1",
  "endTime": "",
  "mineCode": "",
  "startTime": "",
  "companyCode": "",
  "orders[0].asc": "0",
  "orders[0].column": "disconnection_time"
}</t>
  </si>
  <si>
    <t>系统监控统计查询</t>
  </si>
  <si>
    <t>/interface/monitor/systemMonitor/paged</t>
  </si>
  <si>
    <t>{
  "sid": "990",
  "page": "1",
  "size": "10",
  "status": "",
  "mineCode": "",
  "systemType": "",
  "companyCode": "",
  "sourceSystemCode": ""
}</t>
  </si>
  <si>
    <t>预警报警统计查询</t>
  </si>
  <si>
    <t>/push-msg/indictor/alertIndictor/orgComMineStatics</t>
  </si>
  <si>
    <t>{
  "level": "1",
  "endTime": "",
  "orgCode": "",
  "mineCode": "",
  "startTime": "",
  "miningFaceId": "",
  "miningFaceType": ""
}</t>
  </si>
  <si>
    <t>历史预警报警记录查询</t>
  </si>
  <si>
    <t>{
  "oid": "",
  "endTime": "",
  "orgCode": "",
  "pageNum": "1",
  "messInfo": "",
  "messName": "",
  "mineCode": "",
  "pageSize": "20",
  "alarmType": "",
  "startTime": "",
  "miningFaceId": "",
  "startDuration": "",
  "miningFaceType": "",
  "specifyDuration": ""
}</t>
  </si>
  <si>
    <t>集团应用</t>
  </si>
  <si>
    <t>日进尺偏差查询</t>
  </si>
  <si>
    <t>/mine-biz/miningManagement/cjglDailyFootageDeviation/getList</t>
  </si>
  <si>
    <t>{
  "faceNo": "",
  "endDate": "",
  "pageNum": "1",
  "faceType": "",
  "mineCode": "",
  "pageSize": "10",
  "startDate": "",
  "fileUpload": "",
  "companyCode": "",
  "footageDeviation": "3",
  "reasonClassification": "",
  "footageDeviationPercent": "50"
}</t>
  </si>
  <si>
    <t>月进尺偏差查询</t>
  </si>
  <si>
    <t>/mine-biz/miningManagement/cjglMonthFootageDeviation/getList</t>
  </si>
  <si>
    <t>{
  "faceNo": "",
  "pageNum": "1",
  "endMonth": "",
  "faceType": "",
  "mineCode": "",
  "pageSize": "10",
  "fileUpload": "",
  "startMonth": "",
  "companyCode": "",
  "footageDeviation": "5",
  "reasonClassification": "",
  "footageDeviationPercent": "50"
}</t>
  </si>
  <si>
    <t>gis相关</t>
  </si>
  <si>
    <t>GIS-统一下发历史记录</t>
  </si>
  <si>
    <t>/driving-biz-waring/miningremoteinfo/page</t>
  </si>
  <si>
    <t>{
  "size": "20",
  "type": "",
  "current": "1",
  "endTime": "",
  "contacts": "platform",
  "mineCode": "",
  "startTime": "",
  "faceStatus": "",
  "twoLevelMineCode": ""
}</t>
  </si>
  <si>
    <t>{
  "size": 20,
  "type": "",
  "current": 1,
  "endTime": "",
  "mineCode": "",
  "startTime": "",
  "workFaceId": "",
  "twoLevelMineCode": ""
}</t>
  </si>
  <si>
    <t>BODY_CONTAINS · CONTAINS · 期望 "code":200</t>
  </si>
  <si>
    <t>GIS-工作面生命周期查询</t>
  </si>
  <si>
    <t>/mine-biz/mininganagement/cjglCoalFaceInformation/getCoalFaceChangeRecordsList</t>
  </si>
  <si>
    <t>{
  "orgId": "",
  "deptId": "",
  "faceId": "",
  "pageNum": "1",
  "faceType": "采煤",
  "pageSize": "10",
  "bindStatus": "",
  "faceStatus": "",
  "workingMode": ""
}</t>
  </si>
  <si>
    <t>BODY_CONTAINS · CONTAINS · 期望 "code":200,"msg":"查询成功"</t>
  </si>
  <si>
    <t>GIS-定位下发历史记录</t>
  </si>
  <si>
    <t>/mining-biz/proxy/drawingextend/miningremoteinfo/page</t>
  </si>
  <si>
    <t>{
  "size": "20",
  "type": "",
  "current": "1",
  "endTime": "",
  "mineCode": "",
  "startTime": "",
  "faceStatus": "",
  "workFaceId": "",
  "twoLevelMineCode": ""
}</t>
  </si>
  <si>
    <t>{
  "endTime": "2026-01-01 09:00:00",
  "startTime": "2026-08-01 09:00:00"
}</t>
  </si>
  <si>
    <t>采煤基本信息</t>
  </si>
  <si>
    <t>/mine-biz/safeProductionTechnology/cjglYdCoalMineFaceBase/listMessage</t>
  </si>
  <si>
    <t>{
  "blade-auth": "bearer ***",
  "content-type": "application/json"
}</t>
  </si>
  <si>
    <t>{
  "pageNum": "1",
  "faceName": "",
  "mineCode": "",
  "pageSize": "10",
  "companyCode": ""
}</t>
  </si>
  <si>
    <t>掘进基本信息</t>
  </si>
  <si>
    <t>/mine-biz/safeProductionTechnology/cjglYdCoalMineDriving/listMessage</t>
  </si>
  <si>
    <t>生产动态系统接口自动化断言明细</t>
  </si>
  <si>
    <t>用例序号</t>
  </si>
  <si>
    <t>用例名称</t>
  </si>
  <si>
    <t>断言序号</t>
  </si>
  <si>
    <t>断言类型</t>
  </si>
  <si>
    <t>运算符</t>
  </si>
  <si>
    <t>JSONPath/字段</t>
  </si>
  <si>
    <t>预期值</t>
  </si>
  <si>
    <t>实际值</t>
  </si>
  <si>
    <t>结果</t>
  </si>
  <si>
    <t>STATUS</t>
  </si>
  <si>
    <t>EQUALS</t>
  </si>
  <si>
    <t>200</t>
  </si>
  <si>
    <t>BODY_CONTAINS</t>
  </si>
  <si>
    <t>CONTAINS</t>
  </si>
  <si>
    <t>"msg":"操作成功"</t>
  </si>
  <si>
    <t>{"msg":"操作成功","code":200,"data":[[],[{"footageGather":"27319.93","footageActual":"27939.21","footagePlan":"24745.60","time":"1月"},{"footageGather":"15192.47","footageActual":"15037.30","footagePlan":"15490.90","time":"2月"},{"footageGather":"20123.61","footageActual":"19545.81","footagePlan":"17597.00","time":"3月"},{"footageGather":"17357.45","footageActual":"17039.23","footagePlan":"16683.20","time":"4月"},{"footageGather":"18926.62","footageActual":"17672.35","footagePlan":"17468.90","time":"5月"},{"footageGather":"10621.62","footageActual":"14314.34","footagePlan":"14600.08","time":"6月"},{"footageGather":"15279.27","footageActual":"25417.54","footagePlan":"26946.00","time":"7月"},{"footageGather":"19779.72","footageActual":"11867.68","footagePlan":"12634.60","time":"8月"},{"footageGather":"0.00","footageActual":"0.00","footagePlan":"0.00","time":"9月"},{"footageGather":"0.00","footageActual":"0.00","footagePlan":"0.00","time":"10月"},{"footageGather":"0.00","footageActual":"0.00","footagePlan":"0.00","time":"11月"},{"footageGather":"0.00","footageActual":"0.00","footagePlan":"0.00","time":"12月"}]]}</t>
  </si>
  <si>
    <t>{"code":200,"success":true,"data":[{"deptName":"兖矿能源","mineList":[{"deptName":"南屯煤矿","deptCode":"370883034238"},{"deptName":"兴隆庄煤矿","deptCode":"370882033042"},{"deptName":"鲍店煤矿","deptCode":"370883031447"},{"deptName":"东滩煤矿","deptCode":"370883003032"},{"deptName":"济二煤矿","deptCode":"370801003889"},{"deptName":"济三煤矿","deptCode":"370811027892"},{"deptName":"杨村煤矿","deptCode":"370882035910"},{"deptName":"赵楼煤矿","deptCode":"371725004138"},{"deptName":"万福能源","deptCode":"371724034908"},{"deptName":"天池能源","deptCode":"140723008747"},{"deptName":"转龙湾煤矿","deptCode":"150627003945"},{"deptName":"营盘壕煤矿","deptCode":"150626013454"},{"deptName":"石拉乌素煤矿","deptCode":"150627003943"},{"deptName":"金鸡滩煤矿","deptCode":"610802017592"}],"deptCode":"10040"},{"deptName":"新矿集团","mineList":[{"deptName":"孙村煤矿","deptCode":"370982030704"},{"deptName":"华丰煤矿","deptCode":"370921032545"},{"deptName":"协庄煤矿","deptCode":"370982030836"},{"deptName":"翟镇煤矿","deptCode":"370982030705"},{"deptName":"赵官能源","deptCode":"371425027847"},{"deptName":"邱集煤矿","deptCode":"371425030206"},{"deptName":"万祥矿业","deptCode":"371203030147"},{"deptName":"长城一矿","deptCode":"150623028242"},{"deptName":"长城二矿","deptCode":"150623051401"},{"deptName":"长城三矿","deptCode":"150623013321"},{"deptName":"长城五矿","deptCode":"150623051540"},{"deptName":"长城六矿","deptCode":"150623051561"},{"deptName":"榆树井煤矿","deptCode":"150623010799"},{"deptName":"新上海一号","deptCode":"150623013131"},{"deptName":"鲁新煤矿","deptCode":"152526018849"}],"deptCode":"10048"},{"deptName":"西北矿业","mineList":[{"deptName":"亭南煤业","deptCode":"610428016227"},{"deptName":"正通煤业","deptCode":"610428015776"},{"deptName":"永明煤矿","deptCode":"610623008919"},{"deptName":"巴彦高勒煤矿","deptCode":"150626013448"},{"deptName":"双欣矿业","deptCode":"150602008841"},{"deptName":"大恒煤业","deptCode":"140603004408"},{"deptName":"望田煤业","deptCode":"140931007071"},{"deptName":"邵寨煤业","deptCode":"620822009730"},{"deptName":"五举煤业","deptCode":"620823009842"},{"deptName":"刘园子煤矿","deptCode":"621000110639"}],"deptCode":"10053"},{"deptName":"鲁西矿业","mineList":[{"deptName":"新巨龙煤矿","deptCode":"371724006040"},{"deptName":"唐口煤业","deptCode":"370811004383"},{"deptName":"梁宝寺煤矿","deptCode":"370829027902"},{"deptName":"郭屯煤矿","deptCode":"371725003374"},{"deptName":"李楼煤业","deptCode":"371725004145"},{"deptName":"彭庄煤矿","deptCode":"371725002482"},{"deptName":"陈蛮庄煤矿","deptCode":"370901027799"},{"deptName":"梁家煤矿","deptCode":"370681029639"},{"deptName":"白庄煤矿","deptCode":"370983030684"},{"deptName":"新驿煤矿","deptCode":"370882032954"},{"deptName":"王楼煤矿","deptCode":"370811032955"},{"deptName":"鲁西煤矿","deptCode":"370811008574"},{"deptName":"里彦煤矿","deptCode":"370883037164"},{"deptName":"古城煤矿","deptCode":"370882004189"}],"deptCode":"10044"},{"deptName":"枣矿集团","mineList":[{"deptName":"柴里煤矿","deptCode":"370481032218"},{"deptName":"蒋庄煤矿","deptCode":"370481032042"},{"deptName":"田陈煤矿","deptCode":"370401026994"},{"deptName":"付村煤业","deptCode":"370826006186"},{"deptName":"高庄煤业","deptCode":"370826033459"},{"deptName":"新安煤业","deptCode":"370826003634"},{"deptName":"滨湖煤矿","deptCode":"370401035284"},{"deptName":"三河口矿业","deptCode":"370826035904"},{"deptName":"七五煤业","deptCode":"370826027782"},{"deptName":"岱庄煤业","deptCode":"370826003911"}],"deptCode":"10047"},{"deptName":"新疆能化","mineList":[{"deptName":"伊犁能源","deptCode":"654022016200"},{"deptName":"伊新煤业","deptCode":"654023016136"},{"deptName":"硫磺沟煤矿","deptCode":"652301015661"},{"deptName":"秦华煤矿","deptCode":"652801020222"},{"deptName":"永新煤矿","deptCode":"652923015749"}],"deptCode":"10046"},{"deptName":"贵州矿业","mineList":[{"deptName":"绿塘煤矿","deptCode":"520521013465"}],"deptCode":"10052"}],"msg":"操作成功"}</t>
  </si>
  <si>
    <t>{"msg":"操作成功","code":200,"data":[{"deptName":"兖矿能源","list":[{"number":"14个","name":"下属矿井"},{"number":"35个","name":"在采工作面"},{"number":"147个","name":"在掘工作面"},{"number":"93个","name":"进尺采集工作面"}],"deptCode":"10040"},{"deptName":"新矿集团","list":[{"number":"15个","name":"下属矿井"},{"number":"30个","name":"在采工作面"},{"number":"53个","name":"在掘工作面"},{"number":"49个","name":"进尺采集工作面"}],"deptCode":"10048"},{"deptName":"新疆能化","list":[{"number":"5个","name":"下属矿井"},{"number":"9个","name":"在采工作面"},{"number":"17个","name":"在掘工作面"},{"number":"12个","name":"进尺采集工作面"}],"deptCode":"10046"},{"deptName":"枣矿集团","list":[{"number":"10个","name":"下属矿井"},{"number":"35个","name":"在采工作面"},{"number":"54个","name":"在掘工作面"},{"number":"45个","name":"进尺采集工作面"}],"deptCode":"10047"},{"deptName":"鲁西矿业","list":[{"number":"14个","name":"下属矿井"},{"number":"34个","name":"在采工作面"},{"number":"91个","name":"在掘工作面"},{"number":"56个","name":"进尺采集工作面"}],"deptCode":"10044"},{"deptName":"西北矿业","list":[{"number":"10个","name":"下属矿井"},{"number":"30个","name":"在采工作面"},{"number":"61个","name":"在掘工作面"},{"number":"54个","name":"进尺采集工作面"}],"deptCode":"10053"},{"deptName":"贵州矿业","list":[{"number":"1个","name":"下属矿井"},{"number":"3个","name":"在采工作面"},{"number":"6个","name":"在掘工作面"},{"number":"3个","name":"进尺采集工作面"}],"deptCode":"10052"}]}</t>
  </si>
  <si>
    <t>{"msg":"操作成功","code":200,"data":{"rockBurstCoalGather":31,"intelligenceCoalGather":67,"coalGather":112,"rockBurst":113,"intelligence":115,"intelligenceFootageGather":13,"coalIng":176,"totalFace":605,"footageGather":200,"rockBurstCoalIng":48,"intelligenceFootageIng":16,"footageIng":429,"intelligenceCoalIng":99,"rockBurstFootageIng":65,"rockBurstFootageGather":35}}</t>
  </si>
  <si>
    <t>{"msg":"操作成功","code":200,"data":[{"area":"山东","percentage":"69028.0"},{"area":"陕西","percentage":"17644.3"},{"area":"新疆","percentage":"4964.7"},{"area":"山西","percentage":"4236.2"},{"area":"贵州","percentage":"722.1"},{"area":"甘肃","percentage":"6654.9"},{"area":"内蒙古","percentage":"42916.08"}]}</t>
  </si>
  <si>
    <t>{"code":200,"success":true,"data":[{"id":"10040","tenantId":"000000","parentId":"0","fullName":"山东能源兖矿集团","deptName":"兖矿能源","deptCode":"10040","ancestors":"","deptCategory":-1,"sort":1,"remark":"","isDeleted":0,"orgId":10000,"leaderUserId":-1,"lng":"116.949701","lat":"35.398783","addressName":"山东能源集团兖矿能源","deptArea":"","isShow":0,"roleId":"","orgCode":"","mineList":[]},{"id":"10048","tenantId":"000000","parentId":"0","fullName":"山东能源新矿集团","deptName":"新矿集团","deptCode":"10048","ancestors":"","deptCategory":-1,"sort":2,"remark":"","isDeleted":0,"orgId":10000,"leaderUserId":-1,"lng":"117.67527100000001","lat":"35.866074","addressName":"新矿集团总部","deptArea":"","isShow":0,"roleId":"","orgCode":"","mineList":[]},{"id":"10046","tenantId":"000000","parentId":"0","fullName":"山东能源新疆能化","deptName":"新疆能化","deptCode":"10046","ancestors":"","deptCategory":-1,"sort":6,"remark":"","isDeleted":0,"orgId":10000,"leaderUserId":-1,"lng":"87.56273199999998","lat":"43.916188","addressName":"新疆能化","deptArea":"","isShow":0,"roleId":"","orgCode":"","mineList":[]},{"id":"10047","tenantId":"000000","parentId":"0","fullName":"山东能源枣矿集团","deptName":"枣矿集团","deptCode":"10047","ancestors":"","deptCategory":-1,"sort":5,"remark":"","isDeleted":0,"orgId":10000,"leaderUserId":-1,"lng":"117.276686888574","lat":"34.7886773259673","addressName":"山东能源枣矿集团","deptArea":"","isShow":0,"roleId":"","orgCode":"","mineList":[]},{"id":"10044","tenantId":"000000","parentId":"0","fullName":"山东能源集团鲁西矿业有限公司","deptName":"鲁西矿业","deptCode":"10044","ancestors":"","deptCategory":-1,"sort":4,"remark":"","isDeleted":0,"orgId":10000,"leaderUserId":-1,"lng":"115.96716900000001","lat":"35.584977","addressName":"山东能源集团鲁西矿业公司","deptArea":"","isShow":0,"roleId":"","orgCode":"","mineList":[]},{"id":"10053","tenantId":"000000","parentId":"0","fullName":"山东能源西北矿业","deptName":"西北矿业","deptCode":"10053","ancestors":"","deptCategory":-1,"sort":3,"remark":"","isDeleted":0,"orgId":10000,"leaderUserId":-1,"lng":"108.948151759285","lat":"34.352377748402","addressName":"山东能源西北矿业","deptArea":"","isShow":0,"roleId":"","orgCode":"","mineList":[]},{"id":"10052","tenantId":"000000","parentId":"0","fullName":"山东能源贵州矿业有限公司","deptName":"贵州矿业","deptCode":"10052","ancestors":"","deptCategory":-1,"sort":7,"remark":"","isDeleted":0,"orgId":10000,"leaderUserId":-1,"lng":"106.44296500000002","lat":"26.547188","addressName":"山东能源集团贵州矿业有限公司","deptArea":"","isShow":0,"roleId":"","orgCode":"","mineList":[]}],"msg":"操作成功"}</t>
  </si>
  <si>
    <t>"status":"10000"</t>
  </si>
  <si>
    <t>{"status":"10000","msg":"success","data":{"total":67,"online":61,"offline":5,"unmonitored":1}}</t>
  </si>
  <si>
    <t>{"msg":"操作成功","code":200,"data":[{"fillIn":"16523.88","deptName":"兖矿能源","totalFillIn":"63868.26","totalFillInPlan":"0.00","fillInPlan":"0.00","gather":"16420.99","totalGather":"63666.71","deptCode":"10040"},{"fillIn":"12262.92","deptName":"新矿集团","totalFillIn":"63868.26","totalFillInPlan":"0.00","fillInPlan":"0.00","gather":"12340.94","totalGather":"63666.71","deptCode":"10048"},{"fillIn":"13507.79","deptName":"西北矿业","totalFillIn":"63868.26","totalFillInPlan":"0.00","fillInPlan":"0.00","gather":"13978.61","totalGather":"63666.71","deptCode":"10053"},{"fillIn":"8393.34","deptName":"鲁西矿业","totalFillIn":"63868.26","totalFillInPlan":"0.00","fillInPlan":"0.00","gather":"7798.59","totalGather":"63666.71","deptCode":"10044"},{"fillIn":"9314.74","deptName":"枣矿集团","totalFillIn":"63868.26","totalFillInPlan":"0.00","fillInPlan":"0.00","gather":"8837.56","totalGather":"63666.71","deptCode":"10047"},{"fillIn":"3408.40","deptName":"新疆能化","totalFillIn":"63868.26","totalFillInPlan":"0.00","fillInPlan":"0.00","gather":"3836.43","totalGather":"63666.71","deptCode":"10046"},{"fillIn":"457.19","deptName":"贵州矿业","totalFillIn":"63868.26","totalFillInPlan":"0.00","fillInPlan":"0.00","gather":"453.59","totalGather":"63666.71","deptCode":"10052"}]}</t>
  </si>
  <si>
    <t>{"msg":"操作成功","code":200,"data":[{"fillIn":"47627.32","deptName":"兖矿能源","totalFillIn":"148833.46","totalFillInPlan":"146166.28","fillInPlan":"48577.18","gather":"44179.10","totalGather":"144600.69","deptCode":"10040"},{"fillIn":"17940.33","deptName":"新矿集团","totalFillIn":"148833.46","totalFillInPlan":"146166.28","fillInPlan":"18573.40","gather":"17366.42","totalGather":"144600.69","deptCode":"10048"},{"fillIn":"30228.00","deptName":"西北矿业","totalFillIn":"148833.46","totalFillInPlan":"146166.28","fillInPlan":"26987.00","gather":"31347.97","totalGather":"144600.69","deptCode":"10053"},{"fillIn":"23829.81","deptName":"鲁西矿业","totalFillIn":"148833.46","totalFillInPlan":"146166.28","fillInPlan":"23123.90","gather":"24328.00","totalGather":"144600.69","deptCode":"10044"},{"fillIn":"23857.40","deptName":"枣矿集团","totalFillIn":"148833.46","totalFillInPlan":"146166.28","fillInPlan":"23218.00","gather":"22795.63","totalGather":"144600.69","deptCode":"10047"},{"fillIn":"4803.90","deptName":"新疆能化","totalFillIn":"148833.46","totalFillInPlan":"146166.28","fillInPlan":"4964.70","gather":"4137.11","totalGather":"144600.69","deptCode":"10046"},{"fillIn":"546.70","deptName":"贵州矿业","totalFillIn":"148833.46","totalFillInPlan":"146166.28","fillInPlan":"722.10","gather":"446.46","totalGather":"144600.69","deptCode":"10052"}]}</t>
  </si>
  <si>
    <t>{"code":200,"success":true,"data":{"companyCode":"","mineCode":"","lng":"","companyName":"","mineName":"","orgLevel":1,"lat":""},"msg":"操作成功"}</t>
  </si>
  <si>
    <t>{"msg":"操作成功","code":200,"data":[{"mineCode":"370826027782","gatherFootage":"0.01","totalRatio":"3319.00","yieldDeviation":"20603.99","footageDeviation":"33.19","footageDeviationRatio":"331900.00","fillInFootage":"33.20","mineName":"七五煤业","fillInYield":"40574.00","gatherYield":"19970.01","yieldDeviationRatio":"103.00"},{"mineCode":"370901027799","gatherFootage":"8.15","totalRatio":"3.39","yieldDeviation":"23577.48","footageDeviation":"27.65","footageDeviationRatio":"339.00","fillInFootage":"35.80","mineName":"陈蛮庄煤矿","fillInYield":"30353.00","gatherYield":"6775.52","yieldDeviationRatio":"348.00"},{"mineCode":"370829027902","gatherFootage":"17.69","totalRatio":"2.26","yieldDeviation":"58957.57","footageDeviation":"39.91","footageDeviationRatio":"226.00","fillInFootage":"57.60","mineName":"梁宝寺煤矿","fillInYield":"72551.00","gatherYield":"13593.43","yieldDeviationRatio":"434.00"},{"mineCode":"370826003634","gatherFootage":"27.08","totalRatio":"1.90","yieldDeviation":"-22891.50","footageDeviation":"51.42","footageDeviationRatio":"190.00","fillInFootage":"78.50","mineName":"新安煤业","fillInYield":"39055.00","gatherYield":"61946.50","yieldDeviationRatio":"37.00"},{"mineCode":"140723008747","gatherFootage":"13.36","totalRatio":"1.61","yieldDeviation":"40265.04","footageDeviation":"21.53","footageDeviationRatio":"161.00","fillInFootage":"34.89","mineName":"天池能源","fillInYield":"48924.00","gatherYield":"8658.96","yieldDeviationRatio":"465.00"},{"mineCode":"150623051401","gatherFootage":"30.37","totalRatio":"1.36","yieldDeviation":"823.30","footageDeviation":"41.44","footageDeviationRatio":"136.00","fillInFootage":"71.81","mineName":"长城二矿","fillInYield":"75485.00","gatherYield":"74661.70","yieldDeviationRatio":"1.00"},{"mineCode":"652301015661","gatherFootage":"10.48","totalRatio":"1.19","yieldDeviation":"0.00","footageDeviation":"12.42","footageDeviationRatio":"119.00","fillInFootage":"22.90","mineName":"硫磺沟煤矿","fillInYield":"19682.00","gatherYield":"0.00","yieldDeviationRatio":"100.00"},{"mineCode":"370883037164","gatherFootage":"0.00","totalRatio":"1.00","yieldDeviation":"0.00","footageDeviation":"0.00","footageDeviationRatio":"100.00","fillInFootage":"0.00","mineName":"里彦煤矿","fillInYield":"0.00","gatherYield":"0.00","yieldDeviationRatio":"100.00"},{"mineCode":"370882004189","gatherFootage":"0.00","totalRatio":"1.00","yieldDeviation":"0.00","footageDeviation":"0.00","footageDeviationRatio":"100.00","fillInFootage":"0.00","mineName":"古城煤矿","fillInYield":"0.00","gatherYield":"0.00","yieldDeviationRatio":"100.00"},{"mineCode":"371203030147","gatherFootage":"0.00","totalRatio":"1.00","yieldDeviation":"0.00","footageDeviation":"0.00","footageDeviationRatio":"100.00","fillInFootage":"0.00","mineName":"万祥矿业","fillInYield":"0.00","gatherYield":"0.00","yieldDeviationRatio":"100.00"},{"mineCode":"370826033459","gatherFootage":"0.00","totalRatio":"1.00","yieldDeviation":"0.00","footageDeviation":"0.00","footageDeviationRatio":"100.00","fillInFootage":"0.00","mineName":"高庄煤业","fillInYield":"0.00","gatherYield":"0.00","yieldDeviationRatio":"100.00"},{"mineCode":"370982030704","gatherFootage":"0.00","totalRatio":"1.00","yieldDeviation":"0.00","footageDeviation":"0.00","footageDeviationRatio":"100.00","fillInFootage":"0.00","mineName":"孙村煤矿","fillInYield":"0.00","gatherYield":"0.00","yieldDeviationRatio":"100.00"},{"mineCode":"370882035910","gatherFootage":"0.00","totalRatio":"1.00","yieldDeviation":"0.00","footageDeviation":"0.00","footageDeviationRatio":"100.00","fillInFootage":"53.94","mineName":"杨村煤矿","fillInYield":"29239.00","gatherYield":"0.00","yieldDeviationRatio":"100.00"},{"mineCode":"370883034238","gatherFootage":"0.00","totalRatio":"1.00","yieldDeviation":"0.00","footageDeviation":"0.00","footageDeviationRatio":"100.00","fillInFootage":"6.40","mineName":"南屯煤矿","fillInYield":"5594.00","gatherYield":"0.00","yieldDeviationRatio":"100.00"},{"mineCode":"370982030836","gatherFootage":"35.49","totalRatio":"0.92","yieldDeviation":"0.00","footageDeviation":"32.58","footageDeviationRatio":"92.00","fillInFootage":"68.07","mineName":"协庄煤矿","fillInYield":"37399.00","gatherYield":"0.00","yieldDeviationRatio":"100.00"},{"mineCode":"150623013131","gatherFootage":"48.40","totalRatio":"0.82","yieldDeviation":"0.00","footageDeviation":"39.65","footageDeviationRatio":"82.00","fillInFootage":"88.05","mineName":"新上海一号","fillInYield":"180212.00","gatherYield":"0.00","yieldDeviationRatio":"100.00"},{"mineCode":"150623010799","gatherFootage":"55.65","totalRatio":"0.78","yieldDeviation":"0.00","footageDeviation":"43.15","footageDeviationRatio":"78.00","fillInFootage":"98.80","mineName":"榆树井煤矿","fillInYield":"193768.00","gatherYield":"0.00","yieldDeviationRatio":"100.00"},{"mineCode":"652923015749","gatherFootage":"17.63","totalRatio":"0.77","yieldDeviation":"-16309.35","footageDeviation":"-13.63","footageDeviationRatio":"77.00","fillInFootage":"4.00","mineName":"永新煤矿","fillInYield":"1700.00","gatherYield":"18009.35","yieldDeviationRatio":"91.00"},{"mineCode":"371725002482","gatherFootage":"9.71","totalRatio":"0.56","yieldDeviation":"5734.73","footageDeviation":"5.44","footageDeviationRatio":"56.00","fillInFootage":"15.15","mineName":"彭庄煤矿","fillInYield":"13021.00","gatherYield":"7286.27","yieldDeviationRatio":"79.00"},{"mineCode":"370826003911","gatherFootage":"18.70","totalRatio":"0.47","yieldDeviation":"11916.31","footageDeviation":"8.80","footageDeviationRatio":"47.00","fillInFootage":"27.50","mineName":"岱庄煤业","fillInYield":"28896.00","gatherYield":"16979.69","yieldDeviationRatio":"70.00"},{"mineCode":"150627003943","gatherFootage":"78.41","totalRatio":"0.44","yieldDeviation":"184862.07","footageDeviation":"34.39","footageDeviationRatio":"44.00","fillInFootage":"112.80","mineName":"石拉乌素煤矿","fillInYield":"294290.00","gatherYield":"109427.93","yieldDeviationRatio":"169.00"},{"mineCode":"150623028242","gatherFootage":"18.04","totalRatio":"0.41","yieldDeviation":"9218.20","footageDeviation":"7.46","footageDeviationRatio":"41.00","fillInFootage":"25.50","mineName":"长城一矿","fillInYield":"47298.00","gatherYield":"38079.80","yieldDeviationRatio":"24.00"},{"mineCode":"654023016136","gatherFootage":"77.59","totalRatio":"0.34","yieldDeviation":"13595.86","footageDeviation":"26.21","footageDeviationRatio":"34.00","fillInFootage":"103.80","mineName":"伊新煤业","fillInYield":"278061.00","gatherYield":"264465.14","yieldDeviationRatio":"5.00"},{"mineCode":"370882033042","gatherFootage":"28.61","totalRatio":"0.34","yieldDeviation":"22673.90","footageDeviation":"9.79","footageDeviationRatio":"34.00","fillInFootage":"38.40","mineName":"兴隆庄煤矿","fillInYield":"71843.00","gatherYield":"49169.10","yieldDeviationRatio":"46.00"},{"mineCode":"620822009730","gatherFootage":"123.23","totalRatio":"0.33","yieldDeviation":"0.00","footageDeviation":"40.37","footageDeviationRatio":"33.00","fillInFootage":"163.60","mineName":"邵寨煤业","fillInYield":"117842.00","gatherYield":"0.00","yieldDeviationRatio":"100.00"},{"mineCode":"610428015776","gatherFootage":"45.90","totalRatio":"0.33","yieldDeviation":"153786.10","footageDeviation":"15.21","footageDeviationRatio":"33.00","fillInFootage":"61.11","mineName":"正通煤业","fillInYield":"221215.00","gatherYield":"67428.90","yieldDeviationRatio":"228.00"},{"mineCode":"610623008919","gatherFootage":"112.63","totalRatio":"0.32","yieldDeviation":"-145833.72","footageDeviation":"36.17","footageDeviationRatio":"32.00","fillInFootage":"148.80","mineName":"永明煤矿","fillInYield":"26377.00","gatherYield":"172210.72","yieldDeviationRatio":"85.00"},{"mineCode":"152526018849","gatherFootage":"71.77","totalRatio":"0.29","yieldDeviation":"-51883.63","footageDeviation":"-20.77","footageDeviationRatio":"29.00","fillInFootage":"51.00","mineName":"鲁新煤矿","fillInYield":"55000.00","gatherYield":"106883.63","yieldDeviationRatio":"49.00"},{"mineCode":"370681029639","gatherFootage":"45.64","totalRatio":"0.26","yieldDeviation":"0.00","footageDeviation":"-11.98","footageDeviationRatio":"26.00","fillInFootage":"33.66","mineName":"梁家煤矿","fillInYield":"42995.00","gatherYield":"0.00","yieldDeviationRatio":"100.00"},{"mineCode":"371425027847","gatherFootage":"55.00","totalRatio":"0.25","yieldDeviation":"-30375.50","footageDeviation":"-13.60","footageDeviationRatio":"25.00","fillInFootage":"41.40","mineName":"赵官能源","fillInYield":"13341.00","gatherYield":"43716.50","yieldDeviationRatio":"69.00"},{"mineCode":"150623051561","gatherFootage":"25.41","totalRatio":"0.22","yieldDeviation":"-594428.98","footageDeviation":"5.61","footageDeviationRatio":"22.00","fillInFootage":"31.02","mineName":"长城六矿","fillInYield":"68543.00","gatherYield":"662971.98","yieldDeviationRatio":"90.00"},{"mineCode":"370401026994","gatherFootage":"49.52","totalRatio":"0.21","yieldDeviation":"-4572.64","footageDeviation":"10.48","footageDeviationRatio":"21.00","fillInFootage":"60.00","mineName":"田陈煤矿","fillInYield":"72359.00","gatherYield":"76931.64","yieldDeviationRatio":"6.00"},{"mineCode":"370481032042","gatherFootage":"77.68","totalRatio":"0.19","yieldDeviation":"2843.10","footageDeviation":"14.72","footageDeviationRatio":"19.00","fillInFootage":"92.40","mineName":"蒋庄煤矿","fillInYield":"53601.00","gatherYield":"50757.90","yieldDeviationRatio":"6.00"},{"mineCode":"370401035284","gatherFootage":"88.10","totalRatio":"0.19","yieldDeviation":"0.00","footageDeviation":"17.10","footageDeviationRatio":"19.00","fillInFootage":"105.20","mineName":"滨湖煤矿","fillInYield":"48087.00","gatherYield":"0.00","yieldDeviationRatio":"100.00"},{"mineCode":"520521013465","gatherFootage":"65.50","totalRatio":"0.16","yieldDeviation":"0.00","footageDeviation":"10.80","footageDeviationRatio":"16.00","fillInFootage":"76.30","mineName":"绿塘煤矿","fillInYield":"60908.00","gatherYield":"0.00","yieldDeviationRatio":"100.00"},{"mineCode":"370826006186","gatherFootage":"74.07","totalRatio":"0.15","yieldDeviation":"0.00","footageDeviation":"10.83","footageDeviationRatio":"15.00","fillInFootage":"84.90","mineName":"付村煤业","fillInYield":"112297.00","gatherYield":"0.00","yieldDeviationRatio":"100.00"},{"mineCode":"620823009842","gatherFootage":"25.73","totalRatio":"0.15","yieldDeviation":"0.00","footageDeviation":"3.77","footageDeviationRatio":"15.00","fillInFootage":"29.50","mineName":"五举煤业","fillInYield":"43994.00","gatherYield":"0.00","yieldDeviationRatio":"100.00"},{"mineCode":"370982030705","gatherFootage":"43.76","totalRatio":"0.15","yieldDeviation":"-84353.67","footageDeviation":"6.64","footageDeviationRatio":"15.00","fillInFootage":"50.40","mineName":"翟镇煤矿","fillInYield":"41189.00","gatherYield":"125542.67","yieldDeviationRatio":"67.00"},{"mineCode":"621000110639","gatherFootage":"27.82","totalRatio":"0.15","yieldDeviation":"-2405.08","footageDeviation":"4.28","footageDeviationRatio":"15.00","fillInFootage":"32.10","mineName":"刘园子煤矿","fillInYield":"38944.00","gatherYield":"41349.08","yieldDeviationRatio":"6.00"},{"mineCode":"370811008574","gatherFootage":"69.79","totalRatio":"0.14","yieldDeviation":"0.00","footageDeviation":"-10.06","footageDeviationRatio":"14.00","fillInFootage":"59.73","mineName":"鲁西煤矿","fillInYield":"45003.00","gatherYield":"0.00","yieldDeviationRatio":"100.00"},{"mineCode":"370801003889","gatherFootage":"44.01","totalRatio":"0.14","yieldDeviation":"12036.70","footageDeviation":"6.15","footageDeviationRatio":"14.00","fillInFootage":"50.16","mineName":"济二煤矿","fillInYield":"67580.00","gatherYield":"55543.30","yieldDeviationRatio":"22.00"},{"mineCode":"654022016200","gatherFootage":"89.54","totalRatio":"0.14","yieldDeviation":"213731.02","footageDeviation":"-12.59","footageDeviationRatio":"14.00","fillInFootage":"76.95","mineName":"伊犁能源","fillInYield":"354106.00","gatherYield":"140374.98","yieldDeviationRatio":"152.00"},{"mineCode":"150623013321","gatherFootage":"151.68","totalRatio":"0.13","yieldDeviation":"176935.33","footageDeviation":"19.42","footageDeviationRatio":"13.00","fillInFootage":"171.10","mineName":"长城三矿","fillInYield":"177308.00","gatherYield":"372.67","yieldDeviationRatio":"47478.00"},{"mineCode":"370921032545","gatherFootage":"41.40","totalRatio":"0.10","yieldDeviation":"-43645.04","footageDeviation":"4.20","footageDeviationRatio":"10.00","fillInFootage":"45.60","mineName":"华丰煤矿","fillInYield":"43468.00","gatherYield":"87113.04","yieldDeviationRatio":"50.00"},{"mineCode":"371725004138","gatherFootage":"29.41","totalRatio":"0.10","yieldDeviation":"28764.88","footageDeviation":"-3.01","footageDeviationRatio":"10.00","fillInFootage":"26.40","mineName":"赵楼煤矿","fillInYield":"92344.00","gatherYield":"63579.12","yieldDeviationRatio":"45.00"},{"mineCode":"140603004408","gatherFootage":"106.24","totalRatio":"0.09","yieldDeviation":"0.00","footageDeviation":"9.36","footageDeviationRatio":"9.00","fillInFootage":"115.60","mineName":"大恒煤业","fillInYield":"140276.00","gatherYield":"0.00","yieldDeviationRatio":"100.00"},{"mineCode":"371724034908","gatherFootage":"28.95","totalRatio":"0.08","yieldDeviation":"4194.41","footageDeviation":"2.46","footageDeviationRatio":"8.00","fillInFootage":"31.41","mineName":"万福能源","fillInYield":"78190.00","gatherYield":"73995.59","yieldDeviationRatio":"6.00"},{"mineCode":"610802017592","gatherFootage":"293.48","totalRatio":"0.08","yieldDeviation":"-563155.87","footageDeviation":"-22.98","footageDeviationRatio":"8.00","fillInFootage":"270.50","mineName":"金鸡滩煤矿","fillInYield":"814051.00","gatherYield":"1377206.87","yieldDeviationRatio":"41.00"},{"mineCode":"610428016227","gatherFootage":"58.30","totalRatio":"0.08","yieldDeviation":"36440.49","footageDeviation":"-4.50","footageDeviationRatio":"8.00","fillInFootage":"53.80","mineName":"亭南煤业","fillInYield":"214132.00","gatherYield":"177691.51","yieldDeviationRatio":"21.00"},{"mineCode":"371725004145","gatherFootage":"37.90","totalRatio":"0.08","yieldDeviation":"13656.16","footageDeviation":"2.90","footageDeviationRatio":"8.00","fillInFootage":"40.80","mineName":"李楼煤业","fillInYield":"69655.00","gatherYield":"55998.84","yieldDeviationRatio":"24.00"},{"mineCode":"150627003945","gatherFootage":"330.21","totalRatio":"0.07","yieldDeviation":"-314105.63","footageDeviation":"24.29","footageDeviationRatio":"7.00","fillInFootage":"354.50","mineName":"转龙湾煤矿","fillInYield":"519422.00","gatherYield":"833527.63","yieldDeviationRatio":"38.00"},{"mineCode":"150623051540","gatherFootage":"54.59","totalRatio":"0.06","yieldDeviation":"-20534.61","footageDeviation":"-3.21","footageDeviationRatio":"6.00","fillInFootage":"51.38","mineName":"长城五矿","fillInYield":"79580.00","gatherYield":"100114.61","yieldDeviationRatio":"21.00"},{"mineCode":"370883031447","gatherFootage":"153.77","totalRatio":"0.06","yieldDeviation":"17246.26","footageDeviation":"8.68","footageDeviationRatio":"6.00","fillInFootage":"162.45","mineName":"鲍店煤矿","fillInYield":"277390.00","gatherYield":"260143.74","yieldDeviationRatio":"7.00"},{"mineCode":"370882032954","gatherFootage":"36.90","totalRatio":"0.05","yieldDeviation":"3000.04","footageDeviation":"2.00","footageDeviationRatio":"5.00","fillInFootage":"38.90","mineName":"新驿煤矿","fillInYield":"36041.00","gatherYield":"33040.96","yieldDeviationRatio":"9.00"},{"mineCode":"652801020222","gatherFootage":"37.07","totalRatio":"0.05","yieldDeviation":"0.00","footageDeviation":"-1.87","footageDeviationRatio":"5.00","fillInFootage":"35.20","mineName":"秦华煤矿","fillInYield":"29744.00","gatherYield":"0.00","yieldDeviationRatio":"100.00"},{"mineCode":"370811032955","gatherFootage":"34.30","totalRatio":"0.05","yieldDeviation":"-49702.19","footageDeviation":"1.57","footageDeviationRatio":"5.00","fillInFootage":"35.87","mineName":"王楼煤矿","fillInYield":"40783.00","gatherYield":"90485.19","yieldDeviationRatio":"55.00"},{"mineCode":"371724006040","gatherFootage":"85.59","totalRatio":"0.05","yieldDeviation":"-149561.78","footageDeviation":"-4.70","footageDeviationRatio":"5.00","fillInFootage":"80.89","mineName":"新巨龙煤矿","fillInYield":"200031.00","gatherYield":"349592.78","yieldDeviationRatio":"43.00"},{"mineCode":"370811027892","gatherFootage":"83.56","totalRatio":"0.04","yieldDeviation":"-457595.96","footageDeviation":"-3.46","footageDeviationRatio":"4.00","fillInFootage":"80.10","mineName":"济三煤矿","fillInYield":"175431.00","gatherYield":"633026.96","yieldDeviationRatio":"72.00"},{"mineCode":"370983030684","gatherFootage":"93.11","totalRatio":"0.04","yieldDeviation":"-21811.56","footageDeviation":"-3.71","footageDeviationRatio":"4.00","fillInFootage":"89.40","mineName":"白庄煤矿","fillInYield":"20388.00","gatherYield":"42199.56","yieldDeviationRatio":"52.00"},{"mineCode":"150626013448","gatherFootage":"114.00","totalRatio":"0.04","yieldDeviation":"-285830.25","footageDeviation":"4.70","footageDeviationRatio":"4.00","fillInFootage":"118.70","mineName":"巴彦高勒煤矿","fillInYield":"311022.00","gatherYield":"596852.25","yieldDeviationRatio":"48.00"},{"mineCode":"150626013454","gatherFootage":"122.71","totalRatio":"0.04","yieldDeviation":"-310848.82","footageDeviation":"-5.01","footageDeviationRatio":"4.00","fillInFootage":"117.70","mineName":"营盘壕煤矿","fillInYield":"398144.00","gatherYield":"708992.82","yieldDeviationRatio":"44.00"},{"mineCode":"370826035904","gatherFootage":"38.91","totalRatio":"0.04","yieldDeviation":"-45112.44","footageDeviation":"-1.41","footageDeviationRatio":"4.00","fillInFootage":"37.50","mineName":"三河口矿业","fillInYield":"31990.00","gatherYield":"77102.44","yieldDeviationRatio":"59.00"},{"mineCode":"140931007071","gatherFootage":"104.24","totalRatio":"0.03","yieldDeviation":"-8802.58","footageDeviation":"3.16","footageDeviationRatio":"3.00","fillInFootage":"107.40","mineName":"望田煤业","fillInYield":"60370.00","gatherYield":"69172.58","yieldDeviationRatio":"13.00"},{"mineCode":"370811004383","gatherFootage":"76.60","totalRatio":"0.02","yieldDeviation":"842.96","footageDeviation":"-1.80","footageDeviationRatio":"2.00","fillInFootage":"74.80","mineName":"唐口煤业","fillInYield":"147128.00","gatherYield":"146285.04","yieldDeviationRatio":"1.00"},{"mineCode":"371725003374","gatherFootage":"68.50","totalRatio":"0.02","yieldDeviation":"15810.93","footageDeviation":"-1.25","footageDeviationRatio":"2.00","fillInFootage":"67.25","mineName":"郭屯煤矿","fillInYield":"106308.00","gatherYield":"90497.07","yieldDeviationRatio":"17.00"},{"mineCode":"370883003032","gatherFootage":"103.57","totalRatio":"0.02","yieldDeviation":"55324.09","footageDeviation":"2.23","footageDeviationRatio":"2.00","fillInFootage":"105.80","mineName":"东滩煤矿","fillInYield":"227955.00","gatherYield":"172630.91","yieldDeviationRatio":"32.00"},{"mineCode":"150602008841","gatherFootage":"166.90","totalRatio":"0.02","yieldDeviation":"0.00","footageDeviation":"3.00","footageDeviationRatio":"2.00","fillInFootage":"169.90","mineName":"双欣矿业","fillInYield":"246378.00","gatherYield":"0.00","yieldDeviationRatio":"100.00"},{"mineCode":"370481032218","gatherFootage":"56.32","totalRatio":"0.02","yieldDeviation":"0.00","footageDeviation":"1.08","footageDeviationRatio":"2.00","fillInFootage":"57.40","mineName":"柴里煤矿","fillInYield":"41675.00","gatherYield":"0.00","yieldDeviationRatio":"100.00"},{"mineCode":"371425030206","gatherFootage":"91.87","totalRatio":"0.01","yieldDeviation":"-16234.73","footageDeviation":"0.93","footageDeviationRatio":"1.00","fillInFootage":"92.80","mineName":"邱集煤矿","fillInYield":"29827.00","gatherYield":"46061.73","yieldDeviationRatio":"35.00"}]}</t>
  </si>
  <si>
    <t>{"msg":"操作成功","code":200,"data":[{"rockBurstCountGatherFace":"0","mineCode":"370883037164","mechanize100CountTotalFace":"17","rockBurstCountProportion":"0.00","mechanize100CountGatherFace":"0","mechanize100CountProportion":"0.00","mineProportion":"0.00","rockBurstCountTotalFace":"0","mineName":"里彦煤矿","intelligentCountTotalFace":"0","intelligentCountGatherFace":"0","intelligentCountProportion":"0.00"},{"rockBurstCountGatherFace":"0","mineCode":"370882004189","mechanize100CountTotalFace":"16","rockBurstCountProportion":"0.00","mechanize100CountGatherFace":"0","mechanize100CountProportion":"0.00","mineProportion":"0.00","rockBurstCountTotalFace":"12","mineName":"古城煤矿","intelligentCountTotalFace":"0","intelligentCountGatherFace":"0","intelligentCountProportion":"0.00"},{"rockBurstCountGatherFace":"0","mineCode":"652301015661","mechanize100CountTotalFace":"8","rockBurstCountProportion":"0.00","mechanize100CountGatherFace":"0","mechanize100CountProportion":"0.00","mineProportion":"0.00","rockBurstCountTotalFace":"5","mineName":"硫磺沟煤矿","intelligentCountTotalFace":"0","intelligentCountGatherFace":"0","intelligentCountProportion":"0.00"},{"rockBurstCountGatherFace":"0","mineCode":"371203030147","mechanize100CountTotalFace":"4","rockBurstCountProportion":"0.00","mechanize100CountGatherFace":"0","mechanize100CountProportion":"0.00","mineProportion":"0.00","rockBurstCountTotalFace":"0","mineName":"万祥矿业","intelligentCountTotalFace":"0","intelligentCountGatherFace":"0","intelligentCountProportion":"0.00"},{"rockBurstCountGatherFace":"0","mineCode":"370982030704","mechanize100CountTotalFace":"21","rockBurstCountProportion":"0.00","mechanize100CountGatherFace":"0","mechanize100CountProportion":"0.00","mineProportion":"0.00","rockBurstCountTotalFace":"2","mineName":"孙村煤矿","intelligentCountTotalFace":"0","intelligentCountGatherFace":"0","intelligentCountProportion":"0.00"},{"rockBurstCountGatherFace":"0","mineCode":"370826035904","mechanize100CountTotalFace":"15","rockBurstCountProportion":"0.00","mechanize100CountGatherFace":"0","mechanize100CountProportion":"0.00","mineProportion":"0.00","rockBurstCountTotalFace":"0","mineName":"三河口矿业","intelligentCountTotalFace":"0","intelligentCountGatherFace":"0","intelligentCountProportion":"0.00"},{"rockBurstCountGatherFace":"0","mineCode":"620823009842","mechanize100CountTotalFace":"21","rockBurstCountProportion":"0.00","mechanize100CountGatherFace":"0","mechanize100CountProportion":"0.00","mineProportion":"0.00","rockBurstCountTotalFace":"0","mineName":"五举煤业","intelligentCountTotalFace":"0","intelligentCountGatherFace":"0","intelligentCountProportion":"0.00"},{"rockBurstCountGatherFace":"0","mineCode":"371725002482","mechanize100CountTotalFace":"38","rockBurstCountProportion":"0.00","mechanize100CountGatherFace":"0","mechanize100CountProportion":"0.00","mineProportion":"0.00","rockBurstCountTotalFace":"26","mineName":"彭庄煤矿","intelligentCountTotalFace":"6","intelligentCountGatherFace":"0","intelligentCountProportion":"0.00"},{"rockBurstCountGatherFace":"0","mineCode":"370481032218","mechanize100CountTotalFace":"55","rockBurstCountProportion":"0.00","mechanize100CountGatherFace":"0","mechanize100CountProportion":"0.00","mineProportion":"0.00","rockBurstCountTotalFace":"0","mineName":"柴里煤矿","intelligentCountTotalFace":"0","intelligentCountGatherFace":"0","intelligentCountProportion":"0.00"},{"rockBurstCountGatherFace":"0","mineCode":"654022016200","mechanize100CountTotalFace":"35","rockBurstCountProportion":"0.00","mechanize100CountGatherFace":"0","mechanize100CountProportion":"0.00","mineProportion":"0.00","rockBurstCountTotalFace":"0","mineName":"伊犁能源","intelligentCountTotalFace":"1","intelligentCountGatherFace":"0","intelligentCountProportion":"0.00"},{"rockBurstCountGatherFace":"0","mineCode":"371425027847","mechanize100CountTotalFace":"54","rockBurstCountProportion":"0.00","mechanize100CountGatherFace":"1","mechanize100CountProportion":"0.02","mineProportion":"0.01","rockBurstCountTotalFace":"0","mineName":"赵官能源","intelligentCountTotalFace":"0","intelligentCountGatherFace":"0","intelligentCountProportion":"0.00"},{"rockBurstCountGatherFace":"0","mineCode":"370882033042","mechanize100CountTotalFace":"46","rockBurstCountProportion":"0.00","mechanize100CountGatherFace":"1","mechanize100CountProportion":"0.02","mineProportion":"0.01","rockBurstCountTotalFace":"13","mineName":"兴隆庄煤矿","intelligentCountTotalFace":"3","intelligentCountGatherFace":"0","intelligentCountProportion":"0.00"},{"rockBurstCountGatherFace":"0","mineCode":"370826006186","mechanize100CountTotalFace":"45","rockBurstCountProportion":"0.00","mechanize100CountGatherFace":"2","mechanize100CountProportion":"0.04","mineProportion":"0.01","rockBurstCountTotalFace":"0","mineName":"付村煤业","intelligentCountTotalFace":"0","intelligentCountGatherFace":"0","intelligentCountProportion":"0.00"},{"rockBurstCountGatherFace":"0","mineCode":"370826003911","mechanize100CountTotalFace":"51","rockBurstCountProportion":"0.00","mechanize100CountGatherFace":"2","mechanize100CountProportion":"0.04","mineProportion":"0.01","rockBurstCountTotalFace":"0","mineName":"岱庄煤业","intelligentCountTotalFace":"0","intelligentCountGatherFace":"0","intelligentCountProportion":"0.00"},{"rockBurstCountGatherFace":"0","mineCode":"150623010799","mechanize100CountTotalFace":"25","rockBurstCountProportion":"0.00","mechanize100CountGatherFace":"1","mechanize100CountProportion":"0.04","mineProportion":"0.01","rockBurstCountTotalFace":"0","mineName":"榆树井煤矿","intelligentCountTotalFace":"1","intelligentCountGatherFace":"0","intelligentCountProportion":"0.00"},{"rockBurstCountGatherFace":"0","mineCode":"150623051540","mechanize100CountTotalFace":"21","rockBurstCountProportion":"0.00","mechanize100CountGatherFace":"1","mechanize100CountProportion":"0.05","mineProportion":"0.02","rockBurstCountTotalFace":"5","mineName":"长城五矿","intelligentCountTotalFace":"1","intelligentCountGatherFace":"0","intelligentCountProportion":"0.00"},{"rockBurstCountGatherFace":"0","mineCode":"610623008919","mechanize100CountTotalFace":"21","rockBurstCountProportion":"0.00","mechanize100CountGatherFace":"1","mechanize100CountProportion":"0.05","mineProportion":"0.02","rockBurstCountTotalFace":"0","mineName":"永明煤矿","intelligentCountTotalFace":"0","intelligentCountGatherFace":"0","intelligentCountProportion":"0.00"},{"rockBurstCountGatherFace":"0","mineCode":"370811008574","mechanize100CountTotalFace":"27","rockBurstCountProportion":"0.00","mechanize100CountGatherFace":"2","mechanize100CountProportion":"0.07","mineProportion":"0.02","rockBurstCountTotalFace":"0","mineName":"鲁西煤矿","intelligentCountTotalFace":"0","intelligentCountGatherFace":"0","intelligentCountProportion":"0.00"},{"rockBurstCountGatherFace":"0","mineCode":"370882032954","mechanize100CountTotalFace":"42","rockBurstCountProportion":"0.00","mechanize100CountGatherFace":"2","mechanize100CountProportion":"0.05","mineProportion":"0.02","rockBurstCountTotalFace":"0","mineName":"新驿煤矿","intelligentCountTotalFace":"0","intelligentCountGatherFace":"0","intelligentCountProportion":"0.00"},{"rockBurstCountGatherFace":"0","mineCode":"152526018849","mechanize100CountTotalFace":"33","rockBurstCountProportion":"0.00","mechanize100CountGatherFace":"3","mechanize100CountProportion":"0.09","mineProportion":"0.03","rockBurstCountTotalFace":"0","mineName":"鲁新煤矿","intelligentCountTotalFace":"3","intelligentCountGatherFace":"0","intelligentCountProportion":"0.00"},{"rockBurstCountGatherFace":"0","mineCode":"370921032545","mechanize100CountTotalFace":"11","rockBurstCountProportion":"0.00","mechanize100CountGatherFace":"1","mechanize100CountProportion":"0.09","mineProportion":"0.03","rockBurstCountTotalFace":"0","mineName":"华丰煤矿","intelligentCountTotalFace":"1","intelligentCountGatherFace":"0","intelligentCountProportion":"0.00"},{"rockBurstCountGatherFace":"0","mineCode":"150627003945","mechanize100CountTotalFace":"77","rockBurstCountProportion":"0.00","mechanize100CountGatherFace":"6","mechanize100CountProportion":"0.08","mineProportion":"0.03","rockBurstCountTotalFace":"0","mineName":"转龙湾煤矿","intelligentCountTotalFace":"0","intelligentCountGatherFace":"0","intelligentCountProportion":"0.00"},{"rockBurstCountGatherFace":"0","mineCode":"371425030206","mechanize100CountTotalFace":"13","rockBurstCountProportion":"0.00","mechanize100CountGatherFace":"1","mechanize100CountProportion":"0.08","mineProportion":"0.03","rockBurstCountTotalFace":"0","mineName":"邱集煤矿","intelligentCountTotalFace":"0","intelligentCountGatherFace":"0","intelligentCountProportion":"0.00"},{"rockBurstCountGatherFace":"0","mineCode":"370811027892","mechanize100CountTotalFace":"45","rockBurstCountProportion":"0.00","mechanize100CountGatherFace":"4","mechanize100CountProportion":"0.09","mineProportion":"0.03","rockBurstCountTotalFace":"20","mineName":"济三煤矿","intelligentCountTotalFace":"12","intelligentCountGatherFace":"0","intelligentCountProportion":"0.00"},{"rockBurstCountGatherFace":"0","mineCode":"370983030684","mechanize100CountTotalFace":"54","rockBurstCountProportion":"0.00","mechanize100CountGatherFace":"5","mechanize100CountProportion":"0.09","mineProportion":"0.03","rockBurstCountTotalFace":"0","mineName":"白庄煤矿","intelligentCountTotalFace":"0","intelligentCountGatherFace":"0","intelligentCountProportion":"0.00"},{"rockBurstCountGatherFace":"0","mineCode":"520521013465","mechanize100CountTotalFace":"36","rockBurstCountProportion":"0.00","mechanize100CountGatherFace":"3","mechanize100CountProportion":"0.08","mineProportion":"0.03","rockBurstCountTotalFace":"0","mineName":"绿塘煤矿","intelligentCountTotalFace":"0","intelligentCountGatherFace":"0","intelligentCountProportion":"0.00"},{"rockBurstCountGatherFace":"0","mineCode":"371725003374","mechanize100CountTotalFace":"56","rockBurstCountProportion":"0.00","mechanize100CountGatherFace":"5","mechanize100CountProportion":"0.09","mineProportion":"0.03","rockBurstCountTotalFace":"14","mineName":"郭屯煤矿","intelligentCountTotalFace":"3","intelligentCountGatherFace":"0","intelligentCountProportion":"0.00"},{"rockBurstCountGatherFace":"0","mineCode":"370982030836","mechanize100CountTotalFace":"25","rockBurstCountProportion":"0.00","mechanize100CountGatherFace":"2","mechanize100CountProportion":"0.08","mineProportion":"0.03","rockBurstCountTotalFace":"6","mineName":"协庄煤矿","intelligentCountTotalFace":"5","intelligentCountGatherFace":"0","intelligentCountProportion":"0.00"},{"rockBurstCountGatherFace":"0","mineCode":"150602008841","mechanize100CountTotalFace":"53","rockBurstCountProportion":"0.00","mechanize100CountGatherFace":"4","mechanize100CountProportion":"0.08","mineProportion":"0.03","rockBurstCountTotalFace":"0","mineName":"双欣矿业","intelligentCountTotalFace":"1","intelligentCountGatherFace":"0","intelligentCountProportion":"0.00"},{"rockBurstCountGatherFace":"0","mineCode":"370883031447","mechanize100CountTotalFace":"54","rockBurstCountProportion":"0.00","mechanize100CountGatherFace":"6","mechanize100CountProportion":"0.11","mineProportion":"0.04","rockBurstCountTotalFace":"3","mineName":"鲍店煤矿","intelligentCountTotalFace":"1","intelligentCountGatherFace":"0","intelligentCountProportion":"0.00"},{"rockBurstCountGatherFace":"0","mineCode":"654023016136","mechanize100CountTotalFace":"37","rockBurstCountProportion":"0.00","mechanize100CountGatherFace":"4","mechanize100CountProportion":"0.11","mineProportion":"0.04","rockBurstCountTotalFace":"0","mineName":"伊新煤业","intelligentCountTotalFace":"0","intelligentCountGatherFace":"0","intelligentCountProportion":"0.00"},{"rockBurstCountGatherFace":"0","mineCode":"371724034908","mechanize100CountTotalFace":"18","rockBurstCountProportion":"0.00","mechanize100CountGatherFace":"2","mechanize100CountProportion":"0.11","mineProportion":"0.04","rockBurstCountTotalFace":"4","mineName":"万福能源","intelligentCountTotalFace":"2","intelligentCountGatherFace":"0","intelligentCountProportion":"0.00"},{"rockBurstCountGatherFace":"0","mineCode":"370681029639","mechanize100CountTotalFace":"24","rockBurstCountProportion":"0.00","mechanize100CountGatherFace":"3","mechanize100CountProportion":"0.13","mineProportion":"0.04","rockBurstCountTotalFace":"0","mineName":"梁家煤矿","intelligentCountTotalFace":"0","intelligentCountGatherFace":"0","intelligentCountProportion":"0.00"},{"rockBurstCountGatherFace":"0","mineCode":"140603004408","mechanize100CountTotalFace":"45","rockBurstCountProportion":"0.00","mechanize100CountGatherFace":"5","mechanize100CountProportion":"0.11","mineProportion":"0.04","rockBurstCountTotalFace":"0","mineName":"大恒煤业","intelligentCountTotalFace":"0","intelligentCountGatherFace":"0","intelligentCountProportion":"0.00"},{"rockBurstCountGatherFace":"0","mineCode":"150626013454","mechanize100CountTotalFace":"37","rockBurstCountProportion":"0.00","mechanize100CountGatherFace":"4","mechanize100CountProportion":"0.11","mineProportion":"0.04","rockBurstCountTotalFace":"0","mineName":"营盘壕煤矿","intelligentCountTotalFace":"3","intelligentCountGatherFace":"0","intelligentCountProportion":"0.00"},{"rockBurstCountGatherFace":"0","mineCode":"370401035284","mechanize100CountTotalFace":"33","rockBurstCountProportion":"0.00","mechanize100CountGatherFace":"4","mechanize100CountProportion":"0.12","mineProportion":"0.04","rockBurstCountTotalFace":"0","mineName":"滨湖煤矿","intelligentCountTotalFace":"0","intelligentCountGatherFace":"0","intelligentCountProportion":"0.00"},{"rockBurstCountGatherFace":"0","mineCode":"150623013131","mechanize100CountTotalFace":"16","rockBurstCountProportion":"0.00","mechanize100CountGatherFace":"2","mechanize100CountProportion":"0.13","mineProportion":"0.04","rockBurstCountTotalFace":"0","mineName":"新上海一号","intelligentCountTotalFace":"0","intelligentCountGatherFace":"0","intelligentCountProportion":"0.00"},{"rockBurstCountGatherFace":"0","mineCode":"140723008747","mechanize100CountTotalFace":"20","rockBurstCountProportion":"0.00","mechanize100CountGatherFace":"3","mechanize100CountProportion":"0.15","mineProportion":"0.05","rockBurstCountTotalFace":"0","mineName":"天池能源","intelligentCountTotalFace":"1","intelligentCountGatherFace":"0","intelligentCountProportion":"0.00"},{"rockBurstCountGatherFace":"1","mineCode":"610428016227","mechanize100CountTotalFace":"40","rockBurstCountProportion":"0.07","mechanize100CountGatherFace":"3","mechanize100CountProportion":"0.08","mineProportion":"0.05","rockBurstCountTotalFace":"14","mineName":"亭南煤业","intelligentCountTotalFace":"6","intelligentCountGatherFace":"0","intelligentCountProportion":"0.00"},{"rockBurstCountGatherFace":"2","mineCode":"370811004383","mechanize100CountTotalFace":"46","rockBurstCountProportion":"0.07","mechanize100CountGatherFace":"4","mechanize100CountProportion":"0.09","mineProportion":"0.05","rockBurstCountTotalFace":"29","mineName":"唐口煤业","intelligentCountTotalFace":"2","intelligentCountGatherFace":"0","intelligentCountProportion":"0.00"},{"rockBurstCountGatherFace":"0","mineCode":"150627003943","mechanize100CountTotalFace":"55","rockBurstCountProportion":"0.00","mechanize100CountGatherFace":"9","mechanize100CountProportion":"0.16","mineProportion":"0.05","rockBurstCountTotalFace":"4","mineName":"石拉乌素煤矿","intelligentCountTotalFace":"1","intelligentCountGatherFace":"0","intelligentCountProportion":"0.00"},{"rockBurstCountGatherFace":"1","mineCode":"370829027902","mechanize100CountTotalFace":"33","rockBurstCountProportion":"0.06","mechanize100CountGatherFace":"4","mechanize100CountProportion":"0.12","mineProportion":"0.06","rockBurstCountTotalFace":"17","mineName":"梁宝寺煤矿","intelligentCountTotalFace":"11","intelligentCountGatherFace":"0","intelligentCountProportion":"0.00"},{"rockBurstCountGatherFace":"0","mineCode":"140931007071","mechanize100CountTotalFace":"22","rockBurstCountProportion":"0.00","mechanize100CountGatherFace":"4","mechanize100CountProportion":"0.18","mineProportion":"0.06","rockBurstCountTotalFace":"0","mineName":"望田煤业","intelligentCountTotalFace":"0","intelligentCountGatherFace":"0","intelligentCountProportion":"0.00"},{"rockBurstCountGatherFace":"1","mineCode":"150626013448","mechanize100CountTotalFace":"63","rockBurstCountProportion":"0.06","mechanize100CountGatherFace":"8","mechanize100CountProportion":"0.13","mineProportion":"0.06","rockBurstCountTotalFace":"16","mineName":"巴彦高勒煤矿","intelligentCountTotalFace":"7","intelligentCountGatherFace":"0","intelligentCountProportion":"0.00"},{"rockBurstCountGatherFace":"0","mineCode":"652923015749","mechanize100CountTotalFace":"12","rockBurstCountProportion":"0.00","mechanize100CountGatherFace":"2","mechanize100CountProportion":"0.17","mineProportion":"0.06","rockBurstCountTotalFace":"0","mineName":"永新煤矿","intelligentCountTotalFace":"1","intelligentCountGatherFace":"0","intelligentCountProportion":"0.00"},{"rockBurstCountGatherFace":"0","mineCode":"150623013321","mechanize100CountTotalFace":"20","rockBurstCountProportion":"0.00","mechanize100CountGatherFace":"4","mechanize100CountProportion":"0.20","mineProportion":"0.07","rockBurstCountTotalFace":"6","mineName":"长城三矿","intelligentCountTotalFace":"2","intelligentCountGatherFace":"0","intelligentCountProportion":"0.00"},{"rockBurstCountGatherFace":"1","mineCode":"150623051401","mechanize100CountTotalFace":"13","rockBurstCountProportion":"0.14","mechanize100CountGatherFace":"1","mechanize100CountProportion":"0.08","mineProportion":"0.07","rockBurstCountTotalFace":"7","mineName":"长城二矿","intelligentCountTotalFace":"1","intelligentCountGatherFace":"0","intelligentCountProportion":"0.00"},{"rockBurstCountGatherFace":"0","mineCode":"370826003634","mechanize100CountTotalFace":"52","rockBurstCountProportion":"0.00","mechanize100CountGatherFace":"6","mechanize100CountProportion":"0.12","mineProportion":"0.07","rockBurstCountTotalFace":"1","mineName":"新安煤业","intelligentCountTotalFace":"11","intelligentCountGatherFace":"1","intelligentCountProportion":"0.09"},{"rockBurstCountGatherFace":"3","mineCode":"370826033459","mechanize100CountTotalFace":"43","rockBurstCountProportion":"0.12","mechanize100CountGatherFace":"4","mechanize100CountProportion":"0.09","mineProportion":"0.07","rockBurstCountTotalFace":"25","mineName":"高庄煤业","intelligentCountTotalFace":"0","intelligentCountGatherFace":"0","intelligentCountProportion":"0.00"},{"rockBurstCountGatherFace":"2","mineCode":"370883034238","mechanize100CountTotalFace":"52","rockBurstCountProportion":"0.12","mechanize100CountGatherFace":"4","mechanize100CountProportion":"0.08","mineProportion":"0.07","rockBurstCountTotalFace":"17","mineName":"南屯煤矿","intelligentCountTotalFace":"2","intelligentCountGatherFace":"0","intelligentCountProportion":"0.00"},{"rockBurstCountGatherFace":"0","mineCode":"370481032042","mechanize100CountTotalFace":"55","rockBurstCountProportion":"0.00","mechanize100CountGatherFace":"4","mechanize100CountProportion":"0.07","mineProportion":"0.08","rockBurstCountTotalFace":"0","mineName":"蒋庄煤矿","intelligentCountTotalFace":"6","intelligentCountGatherFace":"1","intelligentCountProportion":"0.17"},{"rockBurstCountGatherFace":"2","mineCode":"370401026994","mechanize100CountTotalFace":"21","rockBurstCountProportion":"0.14","mechanize100CountGatherFace":"2","mechanize100CountProportion":"0.10","mineProportion":"0.08","rockBurstCountTotalFace":"14","mineName":"田陈煤矿","intelligentCountTotalFace":"0","intelligentCountGatherFace":"0","intelligentCountProportion":"0.00"},{"rockBurstCountGatherFace":"1","mineCode":"370901027799","mechanize100CountTotalFace":"11","rockBurstCountProportion":"0.17","mechanize100CountGatherFace":"1","mechanize100CountProportion":"0.09","mineProportion":"0.09","rockBurstCountTotalFace":"6","mineName":"陈蛮庄煤矿","intelligentCountTotalFace":"3","intelligentCountGatherFace":"0","intelligentCountProportion":"0.00"},{"rockBurstCountGatherFace":"1","mineCode":"610428015776","mechanize100CountTotalFace":"36","rockBurstCountProportion":"0.09","mechanize100CountGatherFace":"3","mechanize100CountProportion":"0.08","mineProportion":"0.09","rockBurstCountTotalFace":"11","mineName":"正通煤业","intelligentCountTotalFace":"9","intelligentCountGatherFace":"1","intelligentCountProportion":"0.11"},{"rockBurstCountGatherFace":"2","mineCode":"370811032955","mechanize100CountTotalFace":"20","rockBurstCountProportion":"0.12","mechanize100CountGatherFace":"3","mechanize100CountProportion":"0.15","mineProportion":"0.09","rockBurstCountTotalFace":"17","mineName":"王楼煤矿","intelligentCountTotalFace":"8","intelligentCountGatherFace":"0","intelligentCountProportion":"0.00"},{"rockBurstCountGatherFace":"0","mineCode":"621000110639","mechanize100CountTotalFace":"10","rockBurstCountProportion":"0.00","mechanize100CountGatherFace":"3","mechanize100CountProportion":"0.30","mineProportion":"0.10","rockBurstCountTotalFace":"0","mineName":"刘园子煤矿","intelligentCountTotalFace":"0","intelligentCountGatherFace":"0","intelligentCountProportion":"0.00"},{"rockBurstCountGatherFace":"4","mineCode":"371724006040","mechanize100CountTotalFace":"51","rockBurstCountProportion":"0.20","mechanize100CountGatherFace":"6","mechanize100CountProportion":"0.12","mineProportion":"0.11","rockBurstCountTotalFace":"20","mineName":"新巨龙煤矿","intelligentCountTotalFace":"4","intelligentCountGatherFace":"0","intelligentCountProportion":"0.00"},{"rockBurstCountGatherFace":"2","mineCode":"370826027782","mechanize100CountTotalFace":"20","rockBurstCountProportion":"0.13","mechanize100CountGatherFace":"3","mechanize100CountProportion":"0.15","mineProportion":"0.12","rockBurstCountTotalFace":"16","mineName":"七五煤业","intelligentCountTotalFace":"15","intelligentCountGatherFace":"1","intelligentCountProportion":"0.07"},{"rockBurstCountGatherFace":"0","mineCode":"610802017592","mechanize100CountTotalFace":"44","rockBurstCountProportion":"0.00","mechanize100CountGatherFace":"10","mechanize100CountProportion":"0.23","mineProportion":"0.14","rockBurstCountTotalFace":"0","mineName":"金鸡滩煤矿","intelligentCountTotalFace":"5","intelligentCountGatherFace":"1","intelligentCountProportion":"0.20"},{"rockBurstCountGatherFace":"1","mineCode":"371725004145","mechanize100CountTotalFace":"13","rockBurstCountProportion":"0.20","mechanize100CountGatherFace":"3","mechanize100CountProportion":"0.23","mineProportion":"0.14","rockBurstCountTotalFace":"5","mineName":"李楼煤业","intelligentCountTotalFace":"0","intelligentCountGatherFace":"0","intelligentCountProportion":"0.00"},{"rockBurstCountGatherFace":"0","mineCode":"370982030705","mechanize100CountTotalFace":"26","rockBurstCountProportion":"0.00","mechanize100CountGatherFace":"5","mechanize100CountProportion":"0.19","mineProportion":"0.17","rockBurstCountTotalFace":"0","mineName":"翟镇煤矿","intelligentCountTotalFace":"3","intelligentCountGatherFace":"1","intelligentCountProportion":"0.33"},{"rockBurstCountGatherFace":"2","mineCode":"370801003889","mechanize100CountTotalFace":"70","rockBurstCountProportion":"0.14","mechanize100CountGatherFace":"7","mechanize100CountProportion":"0.10","mineProportion":"0.19","rockBurstCountTotalFace":"14","mineName":"济二煤矿","intelligentCountTotalFace":"6","intelligentCountGatherFace":"2","intelligentCountProportion":"0.33"},{"rockBurstCountGatherFace":"0","mineCode":"620822009730","mechanize100CountTotalFace":"35","rockBurstCountProportion":"0.00","mechanize100CountGatherFace":"3","mechanize100CountProportion":"0.09","mineProportion":"0.20","rockBurstCountTotalFace":"0","mineName":"邵寨煤业","intelligentCountTotalFace":"2","intelligentCountGatherFace":"1","intelligentCountProportion":"0.50"},{"rockBurstCountGatherFace":"1","mineCode":"150623028242","mechanize100CountTotalFace":"15","rockBurstCountProportion":"0.50","mechanize100CountGatherFace":"2","mechanize100CountProportion":"0.13","mineProportion":"0.21","rockBurstCountTotalFace":"2","mineName":"长城一矿","intelligentCountTotalFace":"0","intelligentCountGatherFace":"0","intelligentCountProportion":"0.00"},{"rockBurstCountGatherFace":"5","mineCode":"370883003032","mechanize100CountTotalFace":"41","rockBurstCountProportion":"0.50","mechanize100CountGatherFace":"7","mechanize100CountProportion":"0.17","mineProportion":"0.22","rockBurstCountTotalFace":"10","mineName":"东滩煤矿","intelligentCountTotalFace":"1","intelligentCountGatherFace":"0","intelligentCountProportion":"0.00"},{"rockBurstCountGatherFace":"0","mineCode":"370882035910","mechanize100CountTotalFace":"25","rockBurstCountProportion":"0.00","mechanize100CountGatherFace":"1","mechanize100CountProportion":"0.04","mineProportion":"0.35","rockBurstCountTotalFace":"0","mineName":"杨村煤矿","intelligentCountTotalFace":"1","intelligentCountGatherFace":"1","intelligentCountProportion":"1.00"},{"rockBurstCountGatherFace":"0","mineCode":"652801020222","mechanize100CountTotalFace":"14","rockBurstCountProportion":"0.00","mechanize100CountGatherFace":"2","mechanize100CountProportion":"0.14","mineProportion":"0.38","rockBurstCountTotalFace":"0","mineName":"秦华煤矿","intelligentCountTotalFace":"1","intelligentCountGatherFace":"1","intelligentCountProportion":"1.00"},{"rockBurstCountGatherFace":"0","mineCode":"150623051561","mechanize100CountTotalFace":"33","rockBurstCountProportion":"0.00","mechanize100CountGatherFace":"6","mechanize100CountProportion":"0.18","mineProportion":"0.39","rockBurstCountTotalFace":"1","mineName":"长城六矿","intelligentCountTotalFace":"3","intelligentCountGatherFace":"3","intelligentCountProportion":"1.00"},{"rockBurstCountGatherFace":"4","mineCode":"371725004138","mechanize100CountTotalFace":"33","rockBurstCountProportion":"0.24","mechanize100CountGatherFace":"8","mechanize100CountProportion":"0.24","mineProportion":"0.49","rockBurstCountTotalFace":"17","mineName":"赵楼煤矿","intelligentCountTotalFace":"1","intelligentCountGatherFace":"1","intelligentCountProportion":"1.00"}]}</t>
  </si>
  <si>
    <t>{"msg":"操作成功","code":200,"data":[{"mineCode":"370921032545","gatherFootage":"7.00","totalRatio":"3.14","yieldDeviation":"0.00","footageDeviation":"22.00","footageDeviationRatio":"314.00","fillInFootage":"29.00","mineName":"华丰煤矿","fillInYield":"1700.00","gatherYield":"0.00","yieldDeviationRatio":"100.00"},{"mineCode":"370826033459","gatherFootage":"47.25","totalRatio":"2.31","yieldDeviation":"0.00","footageDeviation":"109.15","footageDeviationRatio":"231.00","fillInFootage":"156.40","mineName":"高庄煤业","fillInYield":"8536.00","gatherYield":"0.00","yieldDeviationRatio":"100.00"},{"mineCode":"150623028242","gatherFootage":"7.70","totalRatio":"2.25","yieldDeviation":"0.00","footageDeviation":"17.30","footageDeviationRatio":"225.00","fillInFootage":"25.00","mineName":"长城一矿","fillInYield":"2783.00","gatherYield":"0.00","yieldDeviationRatio":"100.00"},{"mineCode":"520521013465","gatherFootage":"32.50","totalRatio":"2.20","yieldDeviation":"17653.49","footageDeviation":"71.60","footageDeviationRatio":"220.00","fillInFootage":"104.10","mineName":"绿塘煤矿","fillInYield":"17655.00","gatherYield":"1.51","yieldDeviationRatio":"1169105.00"},{"mineCode":"370826006186","gatherFootage":"45.78","totalRatio":"2.04","yieldDeviation":"5527.35","footageDeviation":"93.42","footageDeviationRatio":"204.00","fillInFootage":"139.20","mineName":"付村煤业","fillInYield":"5530.00","gatherYield":"2.65","yieldDeviationRatio":"208579.00"},{"mineCode":"150623010799","gatherFootage":"78.08","totalRatio":"1.97","yieldDeviation":"0.00","footageDeviation":"153.92","footageDeviationRatio":"197.00","fillInFootage":"232.00","mineName":"榆树井煤矿","fillInYield":"760.00","gatherYield":"0.00","yieldDeviationRatio":"100.00"},{"mineCode":"370882033042","gatherFootage":"21.41","totalRatio":"1.90","yieldDeviation":"0.00","footageDeviation":"40.59","footageDeviationRatio":"190.00","fillInFootage":"62.00","mineName":"兴隆庄煤矿","fillInYield":"15400.00","gatherYield":"0.00","yieldDeviationRatio":"100.00"},{"mineCode":"371425030206","gatherFootage":"67.15","totalRatio":"1.67","yieldDeviation":"0.00","footageDeviation":"111.95","footageDeviationRatio":"167.00","fillInFootage":"179.10","mineName":"邱集煤矿","fillInYield":"5223.00","gatherYield":"0.00","yieldDeviationRatio":"100.00"},{"mineCode":"370882032954","gatherFootage":"59.60","totalRatio":"1.52","yieldDeviation":"0.00","footageDeviation":"90.40","footageDeviationRatio":"152.00","fillInFootage":"150.00","mineName":"新驿煤矿","fillInYield":"6402.00","gatherYield":"0.00","yieldDeviationRatio":"100.00"},{"mineCode":"371725003374","gatherFootage":"117.20","totalRatio":"1.41","yieldDeviation":"1545.94","footageDeviation":"164.80","footageDeviationRatio":"141.00","fillInFootage":"282.00","mineName":"郭屯煤矿","fillInYield":"4866.00","gatherYield":"3320.06","yieldDeviationRatio":"47.00"},{"mineCode":"370983030684","gatherFootage":"5.59","totalRatio":"1.33","yieldDeviation":"5903.86","footageDeviation":"7.41","footageDeviationRatio":"133.00","fillInFootage":"13.00","mineName":"白庄煤矿","fillInYield":"5987.00","gatherYield":"83.14","yieldDeviationRatio":"7101.00"},{"mineCode":"370401035284","gatherFootage":"106.25","totalRatio":"1.09","yieldDeviation":"-368.52","footageDeviation":"116.15","footageDeviationRatio":"109.00","fillInFootage":"222.40","mineName":"滨湖煤矿","fillInYield":"3298.00","gatherYield":"3666.52","yieldDeviationRatio":"10.00"},{"mineCode":"371425027847","gatherFootage":"0.00","totalRatio":"1.00","yieldDeviation":"0.00","footageDeviation":"0.00","footageDeviationRatio":"100.00","fillInFootage":"0.00","mineName":"赵官能源","fillInYield":"1589.00","gatherYield":"0.00","yieldDeviationRatio":"100.00"},{"mineCode":"370883037164","gatherFootage":"0.00","totalRatio":"1.00","yieldDeviation":"0.00","footageDeviation":"0.00","footageDeviationRatio":"100.00","fillInFootage":"0.00","mineName":"里彦煤矿","fillInYield":"0.00","gatherYield":"0.00","yieldDeviationRatio":"100.00"},{"mineCode":"370882004189","gatherFootage":"0.00","totalRatio":"1.00","yieldDeviation":"0.00","footageDeviation":"0.00","footageDeviationRatio":"100.00","fillInFootage":"0.00","mineName":"古城煤矿","fillInYield":"0.00","gatherYield":"0.00","yieldDeviationRatio":"100.00"},{"mineCode":"652301015661","gatherFootage":"0.00","totalRatio":"1.00","yieldDeviation":"0.00","footageDeviation":"0.00","footageDeviationRatio":"100.00","fillInFootage":"0.00","mineName":"硫磺沟煤矿","fillInYield":"0.00","gatherYield":"0.00","yieldDeviationRatio":"100.00"},{"mineCode":"371203030147","gatherFootage":"0.00","totalRatio":"1.00","yieldDeviation":"0.00","footageDeviation":"0.00","footageDeviationRatio":"100.00","fillInFootage":"0.00","mineName":"万祥矿业","fillInYield":"0.00","gatherYield":"0.00","yieldDeviationRatio":"100.00"},{"mineCode":"370982030704","gatherFootage":"0.00","totalRatio":"1.00","yieldDeviation":"0.00","footageDeviation":"0.00","footageDeviationRatio":"100.00","fillInFootage":"0.00","mineName":"孙村煤矿","fillInYield":"0.00","gatherYield":"0.00","yieldDeviationRatio":"100.00"},{"mineCode":"370882035910","gatherFootage":"0.00","totalRatio":"1.00","yieldDeviation":"0.00","footageDeviation":"0.00","footageDeviationRatio":"100.00","fillInFootage":"51.00","mineName":"杨村煤矿","fillInYield":"9308.00","gatherYield":"0.00","yieldDeviationRatio":"100.00"},{"mineCode":"610623008919","gatherFootage":"0.00","totalRatio":"1.00","yieldDeviation":"0.00","footageDeviation":"0.00","footageDeviationRatio":"100.00","fillInFootage":"0.00","mineName":"永明煤矿","fillInYield":"0.00","gatherYield":"0.00","yieldDeviationRatio":"100.00"},{"mineCode":"370901027799","gatherFootage":"0.00","totalRatio":"1.00","yieldDeviation":"0.00","footageDeviation":"0.00","footageDeviationRatio":"100.00","fillInFootage":"0.00","mineName":"陈蛮庄煤矿","fillInYield":"1590.00","gatherYield":"0.00","yieldDeviationRatio":"100.00"},{"mineCode":"370811008574","gatherFootage":"0.00","totalRatio":"1.00","yieldDeviation":"0.00","footageDeviation":"0.00","footageDeviationRatio":"100.00","fillInFootage":"0.00","mineName":"鲁西煤矿","fillInYield":"4995.00","gatherYield":"0.00","yieldDeviationRatio":"100.00"},{"mineCode":"620822009730","gatherFootage":"0.00","totalRatio":"1.00","yieldDeviation":"0.00","footageDeviation":"0.00","footageDeviationRatio":"100.00","fillInFootage":"0.00","mineName":"邵寨煤业","fillInYield":"2411.00","gatherYield":"0.00","yieldDeviationRatio":"100.00"},{"mineCode":"652923015749","gatherFootage":"0.00","totalRatio":"1.00","yieldDeviation":"0.00","footageDeviation":"0.00","footageDeviationRatio":"100.00","fillInFootage":"0.00","mineName":"永新煤矿","fillInYield":"0.00","gatherYield":"0.00","yieldDeviationRatio":"100.00"},{"mineCode":"370826035904","gatherFootage":"0.00","totalRatio":"1.00","yieldDeviation":"0.00","footageDeviation":"0.00","footageDeviationRatio":"100.00","fillInFootage":"0.00","mineName":"三河口矿业","fillInYield":"3602.00","gatherYield":"0.00","yieldDeviationRatio":"100.00"},{"mineCode":"620823009842","gatherFootage":"0.00","totalRatio":"1.00","yieldDeviation":"0.00","footageDeviation":"0.00","footageDeviationRatio":"100.00","fillInFootage":"86.00","mineName":"五举煤业","fillInYield":"5600.00","gatherYield":"0.00","yieldDeviationRatio":"100.00"},{"mineCode":"370481032218","gatherFootage":"0.00","totalRatio":"1.00","yieldDeviation":"0.00","footageDeviation":"0.00","footageDeviationRatio":"100.00","fillInFootage":"119.80","mineName":"柴里煤矿","fillInYield":"6319.00","gatherYield":"0.00","yieldDeviationRatio":"100.00"},{"mineCode":"654022016200","gatherFootage":"0.00","totalRatio":"1.00","yieldDeviation":"0.00","footageDeviation":"0.00","footageDeviationRatio":"100.00","fillInFootage":"0.00","mineName":"伊犁能源","fillInYield":"2430.00","gatherYield":"0.00","yieldDeviationRatio":"100.00"},{"mineCode":"610802017592","gatherFootage":"527.34","totalRatio":"0.90","yieldDeviation":"6928.20","footageDeviation":"476.66","footageDeviationRatio":"90.00","fillInFootage":"1004.00","mineName":"金鸡滩煤矿","fillInYield":"36608.00","gatherYield":"29679.80","yieldDeviationRatio":"23.00"},{"mineCode":"371725002482","gatherFootage":"37.60","totalRatio":"0.85","yieldDeviation":"0.00","footageDeviation":"31.80","footageDeviationRatio":"85.00","fillInFootage":"69.40","mineName":"彭庄煤矿","fillInYield":"4484.00","gatherYield":"0.00","yieldDeviationRatio":"100.00"},{"mineCode":"370801003889","gatherFootage":"112.87","totalRatio":"0.78","yieldDeviation":"-11048.27","footageDeviation":"87.93","footageDeviationRatio":"78.00","fillInFootage":"200.80","mineName":"济二煤矿","fillInYield":"5278.00","gatherYield":"16326.27","yieldDeviationRatio":"68.00"},{"mineCode":"654023016136","gatherFootage":"213.87","totalRatio":"0.75","yieldDeviation":"2881.56","footageDeviation":"159.53","footageDeviationRatio":"75.00","fillInFootage":"373.40","mineName":"伊新煤业","fillInYield":"12400.00","gatherYield":"9518.44","yieldDeviationRatio":"30.00"},{"mineCode":"621000110639","gatherFootage":"45.95","totalRatio":"0.74","yieldDeviation":"-3.85","footageDeviation":"34.05","footageDeviationRatio":"74.00","fillInFootage":"80.00","mineName":"刘园子煤矿","fillInYield":"0.00","gatherYield":"3.85","yieldDeviationRatio":"100.00"},{"mineCode":"371725004145","gatherFootage":"156.81","totalRatio":"0.70","yieldDeviation":"-6035.91","footageDeviation":"110.29","footageDeviationRatio":"70.00","fillInFootage":"267.10","mineName":"李楼煤业","fillInYield":"2853.00","gatherYield":"8888.91","yieldDeviationRatio":"68.00"},{"mineCode":"370826003634","gatherFootage":"150.23","totalRatio":"0.65","yieldDeviation":"0.00","footageDeviation":"97.77","footageDeviationRatio":"65.00","fillInFootage":"248.00","mineName":"新安煤业","fillInYield":"5201.00","gatherYield":"0.00","yieldDeviationRatio":"100.00"},{"mineCode":"140723008747","gatherFootage":"145.74","totalRatio":"0.65","yieldDeviation":"-12192.06","footageDeviation":"94.19","footageDeviationRatio":"65.00","fillInFootage":"239.93","mineName":"天池能源","fillInYield":"1729.00","gatherYield":"13921.06","yieldDeviationRatio":"88.00"},{"mineCode":"370826027782","gatherFootage":"115.52","totalRatio":"0.61","yieldDeviation":"0.00","footageDeviation":"70.78","footageDeviationRatio":"61.00","fillInFootage":"186.30","mineName":"七五煤业","fillInYield":"4255.00","gatherYield":"0.00","yieldDeviationRatio":"100.00"},{"mineCode":"150623051561","gatherFootage":"362.28","totalRatio":"0.52","yieldDeviation":"0.00","footageDeviation":"-189.28","footageDeviationRatio":"52.00","fillInFootage":"173.00","mineName":"长城六矿","fillInYield":"2575.00","gatherYield":"0.00","yieldDeviationRatio":"100.00"},{"mineCode":"370982030705","gatherFootage":"145.17","totalRatio":"0.48","yieldDeviation":"5448.46","footageDeviation":"70.23","footageDeviationRatio":"48.00","fillInFootage":"215.40","mineName":"翟镇煤矿","fillInYield":"5452.00","gatherYield":"3.54","yieldDeviationRatio":"153911.00"},{"mineCode":"150623013321","gatherFootage":"68.45","totalRatio":"0.41","yieldDeviation":"26553.61","footageDeviation":"27.95","footageDeviationRatio":"41.00","fillInFootage":"96.40","mineName":"长城三矿","fillInYield":"26673.00","gatherYield":"119.39","yieldDeviationRatio":"22241.00"},{"mineCode":"370829027902","gatherFootage":"30.69","totalRatio":"0.40","yieldDeviation":"8057.61","footageDeviation":"-12.29","footageDeviationRatio":"40.00","fillInFootage":"18.40","mineName":"梁宝寺煤矿","fillInYield":"9118.00","gatherYield":"1060.39","yieldDeviationRatio":"760.00"},{"mineCode":"371724006040","gatherFootage":"209.90","totalRatio":"0.39","yieldDeviation":"0.00","footageDeviation":"82.60","footageDeviationRatio":"39.00","fillInFootage":"292.50","mineName":"新巨龙煤矿","fillInYield":"42274.00","gatherYield":"0.00","yieldDeviationRatio":"100.00"},{"mineCode":"150627003945","gatherFootage":"237.56","totalRatio":"0.38","yieldDeviation":"14856.50","footageDeviation":"89.94","footageDeviationRatio":"38.00","fillInFootage":"327.50","mineName":"转龙湾煤矿","fillInYield":"39756.00","gatherYield":"24899.50","yieldDeviationRatio":"60.00"},{"mineCode":"150627003943","gatherFootage":"281.52","totalRatio":"0.36","yieldDeviation":"0.00","footageDeviation":"100.48","footageDeviationRatio":"36.00","fillInFootage":"382.00","mineName":"石拉乌素煤矿","fillInYield":"18464.00","gatherYield":"0.00","yieldDeviationRatio":"100.00"},{"mineCode":"150602008841","gatherFootage":"604.89","totalRatio":"0.35","yieldDeviation":"0.00","footageDeviation":"211.11","footageDeviationRatio":"35.00","fillInFootage":"816.00","mineName":"双欣矿业","fillInYield":"20577.00","gatherYield":"0.00","yieldDeviationRatio":"100.00"},{"mineCode":"652801020222","gatherFootage":"52.04","totalRatio":"0.34","yieldDeviation":"0.00","footageDeviation":"17.76","footageDeviationRatio":"34.00","fillInFootage":"69.80","mineName":"秦华煤矿","fillInYield":"0.00","gatherYield":"0.00","yieldDeviationRatio":"100.00"},{"mineCode":"152526018849","gatherFootage":"369.34","totalRatio":"0.22","yieldDeviation":"12872.81","footageDeviation":"82.66","footageDeviationRatio":"22.00","fillInFootage":"452.00","mineName":"鲁新煤矿","fillInYield":"12880.00","gatherYield":"7.19","yieldDeviationRatio":"179038.00"},{"mineCode":"370481032042","gatherFootage":"191.38","totalRatio":"0.22","yieldDeviation":"4763.09","footageDeviation":"42.22","footageDeviationRatio":"22.00","fillInFootage":"233.60","mineName":"蒋庄煤矿","fillInYield":"4770.00","gatherYield":"6.91","yieldDeviationRatio":"68930.00"},{"mineCode":"150626013454","gatherFootage":"609.71","totalRatio":"0.15","yieldDeviation":"-5627.77","footageDeviation":"-93.71","footageDeviationRatio":"15.00","fillInFootage":"516.00","mineName":"营盘壕煤矿","fillInYield":"16813.00","gatherYield":"22440.77","yieldDeviationRatio":"25.00"},{"mineCode":"610428016227","gatherFootage":"330.19","totalRatio":"0.14","yieldDeviation":"-4320.05","footageDeviation":"44.81","footageDeviationRatio":"14.00","fillInFootage":"375.00","mineName":"亭南煤业","fillInYield":"5491.00","gatherYield":"9811.05","yieldDeviationRatio":"44.00"},{"mineCode":"370883031447","gatherFootage":"321.66","totalRatio":"0.13","yieldDeviation":"-8702.65","footageDeviation":"41.04","footageDeviationRatio":"13.00","fillInFootage":"362.70","mineName":"鲍店煤矿","fillInYield":"7993.00","gatherYield":"16695.65","yieldDeviationRatio":"52.00"},{"mineCode":"370826003911","gatherFootage":"105.24","totalRatio":"0.13","yieldDeviation":"0.00","footageDeviation":"13.66","footageDeviationRatio":"13.00","fillInFootage":"118.90","mineName":"岱庄煤业","fillInYield":"7420.00","gatherYield":"0.00","yieldDeviationRatio":"100.00"},{"mineCode":"370883034238","gatherFootage":"116.87","totalRatio":"0.12","yieldDeviation":"12670.18","footageDeviation":"13.48","footageDeviationRatio":"12.00","fillInFootage":"130.35","mineName":"南屯煤矿","fillInYield":"18486.00","gatherYield":"5815.82","yieldDeviationRatio":"218.00"},{"mineCode":"370681029639","gatherFootage":"260.35","totalRatio":"0.10","yieldDeviation":"9380.68","footageDeviation":"25.35","footageDeviationRatio":"10.00","fillInFootage":"285.70","mineName":"梁家煤矿","fillInYield":"9381.00","gatherYield":"0.32","yieldDeviationRatio":"2931463.00"},{"mineCode":"370811032955","gatherFootage":"163.20","totalRatio":"0.10","yieldDeviation":"-2932.63","footageDeviation":"15.80","footageDeviationRatio":"10.00","fillInFootage":"179.00","mineName":"王楼煤矿","fillInYield":"7289.00","gatherYield":"10221.63","yieldDeviationRatio":"29.00"},{"mineCode":"371725004138","gatherFootage":"227.05","totalRatio":"0.10","yieldDeviation":"-30.82","footageDeviation":"23.55","footageDeviationRatio":"10.00","fillInFootage":"250.60","mineName":"赵楼煤矿","fillInYield":"14093.00","gatherYield":"14123.82","yieldDeviationRatio":"0.00"},{"mineCode":"150623013131","gatherFootage":"85.46","totalRatio":"0.10","yieldDeviation":"0.00","footageDeviation":"8.54","footageDeviationRatio":"10.00","fillInFootage":"94.00","mineName":"新上海一号","fillInYield":"0.00","gatherYield":"0.00","yieldDeviationRatio":"100.00"},{"mineCode":"150626013448","gatherFootage":"988.08","totalRatio":"0.06","yieldDeviation":"0.00","footageDeviation":"-63.08","footageDeviationRatio":"6.00","fillInFootage":"925.00","mineName":"巴彦高勒煤矿","fillInYield":"79222.00","gatherYield":"0.00","yieldDeviationRatio":"100.00"},{"mineCode":"370401026994","gatherFootage":"161.59","totalRatio":"0.05","yieldDeviation":"2613.35","footageDeviation":"8.41","footageDeviationRatio":"5.00","fillInFootage":"170.00","mineName":"田陈煤矿","fillInYield":"2670.00","gatherYield":"56.65","yieldDeviationRatio":"4613.00"},{"mineCode":"370883003032","gatherFootage":"337.87","totalRatio":"0.05","yieldDeviation":"0.00","footageDeviation":"15.79","footageDeviationRatio":"5.00","fillInFootage":"353.66","mineName":"东滩煤矿","fillInYield":"28671.00","gatherYield":"0.00","yieldDeviationRatio":"100.00"},{"mineCode":"140931007071","gatherFootage":"359.31","totalRatio":"0.04","yieldDeviation":"0.00","footageDeviation":"13.69","footageDeviationRatio":"4.00","fillInFootage":"373.00","mineName":"望田煤业","fillInYield":"10520.00","gatherYield":"0.00","yieldDeviationRatio":"100.00"},{"mineCode":"370811004383","gatherFootage":"299.30","totalRatio":"0.04","yieldDeviation":"4088.62","footageDeviation":"10.70","footageDeviationRatio":"4.00","fillInFootage":"310.00","mineName":"唐口煤业","fillInYield":"4113.00","gatherYield":"24.38","yieldDeviationRatio":"16770.00"},{"mineCode":"610428015776","gatherFootage":"118.81","totalRatio":"0.03","yieldDeviation":"-81776.01","footageDeviation":"-3.81","footageDeviationRatio":"3.00","fillInFootage":"115.00","mineName":"正通煤业","fillInYield":"14800.00","gatherYield":"96576.01","yieldDeviationRatio":"85.00"},{"mineCode":"371724034908","gatherFootage":"80.57","totalRatio":"0.02","yieldDeviation":"0.00","footageDeviation":"1.33","footageDeviationRatio":"2.00","fillInFootage":"81.90","mineName":"万福能源","fillInYield":"2996.00","gatherYield":"0.00","yieldDeviationRatio":"100.00"},{"mineCode":"370811027892","gatherFootage":"126.02","totalRatio":"0.02","yieldDeviation":"-1467.47","footageDeviation":"3.08","footageDeviationRatio":"2.00","fillInFootage":"129.10","mineName":"济三煤矿","fillInYield":"2880.00","gatherYield":"4347.47","yieldDeviationRatio":"34.00"},{"mineCode":"150623051540","gatherFootage":"102.03","totalRatio":"0.01","yieldDeviation":"2659.13","footageDeviation":"-0.53","footageDeviationRatio":"1.00","fillInFootage":"101.50","mineName":"长城五矿","fillInYield":"2720.00","gatherYield":"60.87","yieldDeviationRatio":"4369.00"},{"mineCode":"140603004408","gatherFootage":"215.38","totalRatio":"0.01","yieldDeviation":"0.00","footageDeviation":"-1.38","footageDeviationRatio":"1.00","fillInFootage":"214.00","mineName":"大恒煤业","fillInYield":"20190.00","gatherYield":"0.00","yieldDeviationRatio":"100.00"},{"mineCode":"370982030836","gatherFootage":"169.02","totalRatio":"0.01","yieldDeviation":"0.00","footageDeviation":"-1.02","footageDeviationRatio":"1.00","fillInFootage":"168.00","mineName":"协庄煤矿","fillInYield":"1105.00","gatherYield":"0.00","yieldDeviationRatio":"100.00"},{"mineCode":"150623051401","gatherFootage":"101.90","totalRatio":"0.00","yieldDeviation":"20498.75","footageDeviation":"0.10","footageDeviationRatio":"0.00","fillInFootage":"102.00","mineName":"长城二矿","fillInYield":"23525.00","gatherYield":"3026.25","yieldDeviationRatio":"677.00"}]}</t>
  </si>
  <si>
    <t>{"msg":"操作成功","code":200,"data":[{"rockBurstCountGatherFace":"0","mineCode":"370883037164","mechanize100CountTotalFace":"5","rockBurstCountProportion":"0.00","mechanize100CountGatherFace":"0","mechanize100CountProportion":"0.00","mineProportion":"0.00","rockBurstCountTotalFace":"0","mineName":"里彦煤矿","intelligentCountTotalFace":"5","intelligentCountGatherFace":"0","intelligentCountProportion":"0.00"},{"rockBurstCountGatherFace":"0","mineCode":"370882004189","mechanize100CountTotalFace":"4","rockBurstCountProportion":"0.00","mechanize100CountGatherFace":"0","mechanize100CountProportion":"0.00","mineProportion":"0.00","rockBurstCountTotalFace":"4","mineName":"古城煤矿","intelligentCountTotalFace":"1","intelligentCountGatherFace":"0","intelligentCountProportion":"0.00"},{"rockBurstCountGatherFace":"0","mineCode":"652301015661","mechanize100CountTotalFace":"2","rockBurstCountProportion":"0.00","mechanize100CountGatherFace":"0","mechanize100CountProportion":"0.00","mineProportion":"0.00","rockBurstCountTotalFace":"1","mineName":"硫磺沟煤矿","intelligentCountTotalFace":"1","intelligentCountGatherFace":"0","intelligentCountProportion":"0.00"},{"rockBurstCountGatherFace":"0","mineCode":"371203030147","mechanize100CountTotalFace":"3","rockBurstCountProportion":"0.00","mechanize100CountGatherFace":"0","mechanize100CountProportion":"0.00","mineProportion":"0.00","rockBurstCountTotalFace":"0","mineName":"万祥矿业","intelligentCountTotalFace":"1","intelligentCountGatherFace":"0","intelligentCountProportion":"0.00"},{"rockBurstCountGatherFace":"0","mineCode":"370982030704","mechanize100CountTotalFace":"6","rockBurstCountProportion":"0.00","mechanize100CountGatherFace":"0","mechanize100CountProportion":"0.00","mineProportion":"0.00","rockBurstCountTotalFace":"1","mineName":"孙村煤矿","intelligentCountTotalFace":"2","intelligentCountGatherFace":"0","intelligentCountProportion":"0.00"},{"rockBurstCountGatherFace":"0","mineCode":"370901027799","mechanize100CountTotalFace":"2","rockBurstCountProportion":"0.00","mechanize100CountGatherFace":"0","mechanize100CountProportion":"0.00","mineProportion":"0.00","rockBurstCountTotalFace":"2","mineName":"陈蛮庄煤矿","intelligentCountTotalFace":"2","intelligentCountGatherFace":"0","intelligentCountProportion":"0.00"},{"rockBurstCountGatherFace":"0","mineCode":"370882032954","mechanize100CountTotalFace":"5","rockBurstCountProportion":"0.00","mechanize100CountGatherFace":"0","mechanize100CountProportion":"0.00","mineProportion":"0.00","rockBurstCountTotalFace":"0","mineName":"新驿煤矿","intelligentCountTotalFace":"2","intelligentCountGatherFace":"0","intelligentCountProportion":"0.00"},{"rockBurstCountGatherFace":"0","mineCode":"371425030206","mechanize100CountTotalFace":"9","rockBurstCountProportion":"0.00","mechanize100CountGatherFace":"1","mechanize100CountProportion":"0.11","mineProportion":"0.04","rockBurstCountTotalFace":"1","mineName":"邱集煤矿","intelligentCountTotalFace":"4","intelligentCountGatherFace":"0","intelligentCountProportion":"0.00"},{"rockBurstCountGatherFace":"0","mineCode":"610623008919","mechanize100CountTotalFace":"9","rockBurstCountProportion":"0.00","mechanize100CountGatherFace":"1","mechanize100CountProportion":"0.11","mineProportion":"0.04","rockBurstCountTotalFace":"0","mineName":"永明煤矿","intelligentCountTotalFace":"6","intelligentCountGatherFace":"0","intelligentCountProportion":"0.00"},{"rockBurstCountGatherFace":"0","mineCode":"370811008574","mechanize100CountTotalFace":"9","rockBurstCountProportion":"0.00","mechanize100CountGatherFace":"1","mechanize100CountProportion":"0.11","mineProportion":"0.04","rockBurstCountTotalFace":"0","mineName":"鲁西煤矿","intelligentCountTotalFace":"3","intelligentCountGatherFace":"0","intelligentCountProportion":"0.00"},{"rockBurstCountGatherFace":"0","mineCode":"370826033459","mechanize100CountTotalFace":"7","rockBurstCountProportion":"0.00","mechanize100CountGatherFace":"1","mechanize100CountProportion":"0.14","mineProportion":"0.05","rockBurstCountTotalFace":"4","mineName":"高庄煤业","intelligentCountTotalFace":"3","intelligentCountGatherFace":"0","intelligentCountProportion":"0.00"},{"rockBurstCountGatherFace":"0","mineCode":"371725003374","mechanize100CountTotalFace":"7","rockBurstCountProportion":"0.00","mechanize100CountGatherFace":"1","mechanize100CountProportion":"0.14","mineProportion":"0.05","rockBurstCountTotalFace":"6","mineName":"郭屯煤矿","intelligentCountTotalFace":"5","intelligentCountGatherFace":"0","intelligentCountProportion":"0.00"},{"rockBurstCountGatherFace":"0","mineCode":"370826003634","mechanize100CountTotalFace":"12","rockBurstCountProportion":"0.00","mechanize100CountGatherFace":"2","mechanize100CountProportion":"0.17","mineProportion":"0.06","rockBurstCountTotalFace":"0","mineName":"新安煤业","intelligentCountTotalFace":"5","intelligentCountGatherFace":"0","intelligentCountProportion":"0.00"},{"rockBurstCountGatherFace":"0","mineCode":"370681029639","mechanize100CountTotalFace":"6","rockBurstCountProportion":"0.00","mechanize100CountGatherFace":"1","mechanize100CountProportion":"0.17","mineProportion":"0.06","rockBurstCountTotalFace":"1","mineName":"梁家煤矿","intelligentCountTotalFace":"2","intelligentCountGatherFace":"0","intelligentCountProportion":"0.00"},{"rockBurstCountGatherFace":"0","mineCode":"370826003911","mechanize100CountTotalFace":"10","rockBurstCountProportion":"0.00","mechanize100CountGatherFace":"2","mechanize100CountProportion":"0.20","mineProportion":"0.07","rockBurstCountTotalFace":"0","mineName":"岱庄煤业","intelligentCountTotalFace":"0","intelligentCountGatherFace":"0","intelligentCountProportion":"0.00"},{"rockBurstCountGatherFace":"0","mineCode":"370481032218","mechanize100CountTotalFace":"17","rockBurstCountProportion":"0.00","mechanize100CountGatherFace":"2","mechanize100CountProportion":"0.12","mineProportion":"0.07","rockBurstCountTotalFace":"0","mineName":"柴里煤矿","intelligentCountTotalFace":"11","intelligentCountGatherFace":"1","intelligentCountProportion":"0.09"},{"rockBurstCountGatherFace":"0","mineCode":"370982030705","mechanize100CountTotalFace":"11","rockBurstCountProportion":"0.00","mechanize100CountGatherFace":"1","mechanize100CountProportion":"0.09","mineProportion":"0.07","rockBurstCountTotalFace":"0","mineName":"翟镇煤矿","intelligentCountTotalFace":"8","intelligentCountGatherFace":"1","intelligentCountProportion":"0.13"},{"rockBurstCountGatherFace":"0","mineCode":"152526018849","mechanize100CountTotalFace":"4","rockBurstCountProportion":"0.00","mechanize100CountGatherFace":"1","mechanize100CountProportion":"0.25","mineProportion":"0.08","rockBurstCountTotalFace":"0","mineName":"鲁新煤矿","intelligentCountTotalFace":"1","intelligentCountGatherFace":"0","intelligentCountProportion":"0.00"},{"rockBurstCountGatherFace":"0","mineCode":"654023016136","mechanize100CountTotalFace":"8","rockBurstCountProportion":"0.00","mechanize100CountGatherFace":"2","mechanize100CountProportion":"0.25","mineProportion":"0.08","rockBurstCountTotalFace":"0","mineName":"伊新煤业","intelligentCountTotalFace":"4","intelligentCountGatherFace":"0","intelligentCountProportion":"0.00"},{"rockBurstCountGatherFace":"0","mineCode":"370983030684","mechanize100CountTotalFace":"12","rockBurstCountProportion":"0.00","mechanize100CountGatherFace":"3","mechanize100CountProportion":"0.25","mineProportion":"0.08","rockBurstCountTotalFace":"0","mineName":"白庄煤矿","intelligentCountTotalFace":"3","intelligentCountGatherFace":"0","intelligentCountProportion":"0.00"},{"rockBurstCountGatherFace":"0","mineCode":"610428015776","mechanize100CountTotalFace":"4","rockBurstCountProportion":"0.00","mechanize100CountGatherFace":"1","mechanize100CountProportion":"0.25","mineProportion":"0.08","rockBurstCountTotalFace":"3","mineName":"正通煤业","intelligentCountTotalFace":"1","intelligentCountGatherFace":"0","intelligentCountProportion":"0.00"},{"rockBurstCountGatherFace":"0","mineCode":"520521013465","mechanize100CountTotalFace":"4","rockBurstCountProportion":"0.00","mechanize100CountGatherFace":"1","mechanize100CountProportion":"0.25","mineProportion":"0.08","rockBurstCountTotalFace":"0","mineName":"绿塘煤矿","intelligentCountTotalFace":"0","intelligentCountGatherFace":"0","intelligentCountProportion":"0.00"},{"rockBurstCountGatherFace":"0","mineCode":"370401035284","mechanize100CountTotalFace":"8","rockBurstCountProportion":"0.00","mechanize100CountGatherFace":"2","mechanize100CountProportion":"0.25","mineProportion":"0.08","rockBurstCountTotalFace":"0","mineName":"滨湖煤矿","intelligentCountTotalFace":"6","intelligentCountGatherFace":"0","intelligentCountProportion":"0.00"},{"rockBurstCountGatherFace":"0","mineCode":"150623013131","mechanize100CountTotalFace":"3","rockBurstCountProportion":"0.00","mechanize100CountGatherFace":"0","mechanize100CountProportion":"0.00","mineProportion":"0.08","rockBurstCountTotalFace":"0","mineName":"新上海一号","intelligentCountTotalFace":"4","intelligentCountGatherFace":"1","intelligentCountProportion":"0.25"},{"rockBurstCountGatherFace":"0","mineCode":"370829027902","mechanize100CountTotalFace":"6","rockBurstCountProportion":"0.00","mechanize100CountGatherFace":"1","mechanize100CountProportion":"0.17","mineProportion":"0.10","rockBurstCountTotalFace":"4","mineName":"梁宝寺煤矿","intelligentCountTotalFace":"7","intelligentCountGatherFace":"1","intelligentCountProportion":"0.14"},{"rockBurstCountGatherFace":"0","mineCode":"370882035910","mechanize100CountTotalFace":"9","rockBurstCountProportion":"0.00","mechanize100CountGatherFace":"2","mechanize100CountProportion":"0.22","mineProportion":"0.13","rockBurstCountTotalFace":"0","mineName":"杨村煤矿","intelligentCountTotalFace":"6","intelligentCountGatherFace":"1","intelligentCountProportion":"0.17"},{"rockBurstCountGatherFace":"1","mineCode":"610428016227","mechanize100CountTotalFace":"5","rockBurstCountProportion":"0.20","mechanize100CountGatherFace":"1","mechanize100CountProportion":"0.20","mineProportion":"0.13","rockBurstCountTotalFace":"5","mineName":"亭南煤业","intelligentCountTotalFace":"4","intelligentCountGatherFace":"0","intelligentCountProportion":"0.00"},{"rockBurstCountGatherFace":"0","mineCode":"370481032042","mechanize100CountTotalFace":"18","rockBurstCountProportion":"0.00","mechanize100CountGatherFace":"4","mechanize100CountProportion":"0.22","mineProportion":"0.15","rockBurstCountTotalFace":"0","mineName":"蒋庄煤矿","intelligentCountTotalFace":"17","intelligentCountGatherFace":"4","intelligentCountProportion":"0.24"},{"rockBurstCountGatherFace":"1","mineCode":"370883034238","mechanize100CountTotalFace":"10","rockBurstCountProportion":"0.25","mechanize100CountGatherFace":"1","mechanize100CountProportion":"0.10","mineProportion":"0.15","rockBurstCountTotalFace":"4","mineName":"南屯煤矿","intelligentCountTotalFace":"9","intelligentCountGatherFace":"1","intelligentCountProportion":"0.11"},{"rockBurstCountGatherFace":"0","mineCode":"150627003945","mechanize100CountTotalFace":"7","rockBurstCountProportion":"0.00","mechanize100CountGatherFace":"2","mechanize100CountProportion":"0.29","mineProportion":"0.16","rockBurstCountTotalFace":"0","mineName":"转龙湾煤矿","intelligentCountTotalFace":"5","intelligentCountGatherFace":"1","intelligentCountProportion":"0.20"},{"rockBurstCountGatherFace":"0","mineCode":"150602008841","mechanize100CountTotalFace":"7","rockBurstCountProportion":"0.00","mechanize100CountGatherFace":"2","mechanize100CountProportion":"0.29","mineProportion":"0.16","rockBurstCountTotalFace":"0","mineName":"双欣矿业","intelligentCountTotalFace":"5","intelligentCountGatherFace":"1","intelligentCountProportion":"0.20"},{"rockBurstCountGatherFace":"0","mineCode":"370826006186","mechanize100CountTotalFace":"15","rockBurstCountProportion":"0.00","mechanize100CountGatherFace":"4","mechanize100CountProportion":"0.27","mineProportion":"0.17","rockBurstCountTotalFace":"0","mineName":"付村煤业","intelligentCountTotalFace":"16","intelligentCountGatherFace":"4","intelligentCountProportion":"0.25"},{"rockBurstCountGatherFace":"0","mineCode":"621000110639","mechanize100CountTotalFace":"2","rockBurstCountProportion":"0.00","mechanize100CountGatherFace":"1","mechanize100CountProportion":"0.50","mineProportion":"0.17","rockBurstCountTotalFace":"0","mineName":"刘园子煤矿","intelligentCountTotalFace":"0","intelligentCountGatherFace":"0","intelligentCountProportion":"0.00"},{"rockBurstCountGatherFace":"0","mineCode":"150623013321","mechanize100CountTotalFace":"6","rockBurstCountProportion":"0.00","mechanize100CountGatherFace":"2","mechanize100CountProportion":"0.33","mineProportion":"0.18","rockBurstCountTotalFace":"1","mineName":"长城三矿","intelligentCountTotalFace":"5","intelligentCountGatherFace":"1","intelligentCountProportion":"0.20"},{"rockBurstCountGatherFace":"0","mineCode":"371425027847","mechanize100CountTotalFace":"8","rockBurstCountProportion":"0.00","mechanize100CountGatherFace":"2","mechanize100CountProportion":"0.25","mineProportion":"0.19","rockBurstCountTotalFace":"0","mineName":"赵官能源","intelligentCountTotalFace":"6","intelligentCountGatherFace":"2","intelligentCountProportion":"0.33"},{"rockBurstCountGatherFace":"1","mineCode":"370882033042","mechanize100CountTotalFace":"8","rockBurstCountProportion":"0.33","mechanize100CountGatherFace":"1","mechanize100CountProportion":"0.13","mineProportion":"0.20","rockBurstCountTotalFace":"3","mineName":"兴隆庄煤矿","intelligentCountTotalFace":"8","intelligentCountGatherFace":"1","intelligentCountProportion":"0.13"},{"rockBurstCountGatherFace":"0","mineCode":"620823009842","mechanize100CountTotalFace":"5","rockBurstCountProportion":"0.00","mechanize100CountGatherFace":"3","mechanize100CountProportion":"0.60","mineProportion":"0.20","rockBurstCountTotalFace":"0","mineName":"五举煤业","intelligentCountTotalFace":"0","intelligentCountGatherFace":"0","intelligentCountProportion":"0.00"},{"rockBurstCountGatherFace":"1","mineCode":"370811027892","mechanize100CountTotalFace":"8","rockBurstCountProportion":"0.14","mechanize100CountGatherFace":"2","mechanize100CountProportion":"0.25","mineProportion":"0.21","rockBurstCountTotalFace":"7","mineName":"济三煤矿","intelligentCountTotalFace":"8","intelligentCountGatherFace":"2","intelligentCountProportion":"0.25"},{"rockBurstCountGatherFace":"2","mineCode":"150626013448","mechanize100CountTotalFace":"8","rockBurstCountProportion":"0.25","mechanize100CountGatherFace":"2","mechanize100CountProportion":"0.25","mineProportion":"0.21","rockBurstCountTotalFace":"8","mineName":"巴彦高勒煤矿","intelligentCountTotalFace":"7","intelligentCountGatherFace":"1","intelligentCountProportion":"0.14"},{"rockBurstCountGatherFace":"0","mineCode":"370921032545","mechanize100CountTotalFace":"3","rockBurstCountProportion":"0.00","mechanize100CountGatherFace":"1","mechanize100CountProportion":"0.33","mineProportion":"0.22","rockBurstCountTotalFace":"0","mineName":"华丰煤矿","intelligentCountTotalFace":"3","intelligentCountGatherFace":"1","intelligentCountProportion":"0.33"},{"rockBurstCountGatherFace":"0","mineCode":"140723008747","mechanize100CountTotalFace":"3","rockBurstCountProportion":"0.00","mechanize100CountGatherFace":"1","mechanize100CountProportion":"0.33","mineProportion":"0.22","rockBurstCountTotalFace":"0","mineName":"天池能源","intelligentCountTotalFace":"3","intelligentCountGatherFace":"1","intelligentCountProportion":"0.33"},{"rockBurstCountGatherFace":"0","mineCode":"610802017592","mechanize100CountTotalFace":"6","rockBurstCountProportion":"0.00","mechanize100CountGatherFace":"2","mechanize100CountProportion":"0.33","mineProportion":"0.22","rockBurstCountTotalFace":"0","mineName":"金鸡滩煤矿","intelligentCountTotalFace":"6","intelligentCountGatherFace":"2","intelligentCountProportion":"0.33"},{"rockBurstCountGatherFace":"0","mineCode":"140603004408","mechanize100CountTotalFace":"11","rockBurstCountProportion":"0.00","mechanize100CountGatherFace":"3","mechanize100CountProportion":"0.27","mineProportion":"0.22","rockBurstCountTotalFace":"0","mineName":"大恒煤业","intelligentCountTotalFace":"5","intelligentCountGatherFace":"2","intelligentCountProportion":"0.40"},{"rockBurstCountGatherFace":"0","mineCode":"150623010799","mechanize100CountTotalFace":"6","rockBurstCountProportion":"0.00","mechanize100CountGatherFace":"2","mechanize100CountProportion":"0.33","mineProportion":"0.22","rockBurstCountTotalFace":"0","mineName":"榆树井煤矿","intelligentCountTotalFace":"6","intelligentCountGatherFace":"2","intelligentCountProportion":"0.33"},{"rockBurstCountGatherFace":"0","mineCode":"620822009730","mechanize100CountTotalFace":"6","rockBurstCountProportion":"0.00","mechanize100CountGatherFace":"2","mechanize100CountProportion":"0.33","mineProportion":"0.24","rockBurstCountTotalFace":"0","mineName":"邵寨煤业","intelligentCountTotalFace":"5","intelligentCountGatherFace":"2","intelligentCountProportion":"0.40"},{"rockBurstCountGatherFace":"2","mineCode":"370811004383","mechanize100CountTotalFace":"8","rockBurstCountProportion":"0.25","mechanize100CountGatherFace":"2","mechanize100CountProportion":"0.25","mineProportion":"0.25","rockBurstCountTotalFace":"8","mineName":"唐口煤业","intelligentCountTotalFace":"8","intelligentCountGatherFace":"2","intelligentCountProportion":"0.25"},{"rockBurstCountGatherFace":"0","mineCode":"370826035904","mechanize100CountTotalFace":"4","rockBurstCountProportion":"0.00","mechanize100CountGatherFace":"1","mechanize100CountProportion":"0.25","mineProportion":"0.25","rockBurstCountTotalFace":"0","mineName":"三河口矿业","intelligentCountTotalFace":"2","intelligentCountGatherFace":"1","intelligentCountProportion":"0.50"},{"rockBurstCountGatherFace":"1","mineCode":"150623051540","mechanize100CountTotalFace":"5","rockBurstCountProportion":"0.33","mechanize100CountGatherFace":"1","mechanize100CountProportion":"0.20","mineProportion":"0.26","rockBurstCountTotalFace":"3","mineName":"长城五矿","intelligentCountTotalFace":"4","intelligentCountGatherFace":"1","intelligentCountProportion":"0.25"},{"rockBurstCountGatherFace":"1","mineCode":"370883003032","mechanize100CountTotalFace":"9","rockBurstCountProportion":"0.20","mechanize100CountGatherFace":"3","mechanize100CountProportion":"0.33","mineProportion":"0.26","rockBurstCountTotalFace":"5","mineName":"东滩煤矿","intelligentCountTotalFace":"8","intelligentCountGatherFace":"2","intelligentCountProportion":"0.25"},{"rockBurstCountGatherFace":"1","mineCode":"150623028242","mechanize100CountTotalFace":"4","rockBurstCountProportion":"0.33","mechanize100CountGatherFace":"1","mechanize100CountProportion":"0.25","mineProportion":"0.28","rockBurstCountTotalFace":"3","mineName":"长城一矿","intelligentCountTotalFace":"4","intelligentCountGatherFace":"1","intelligentCountProportion":"0.25"},{"rockBurstCountGatherFace":"0","mineCode":"652801020222","mechanize100CountTotalFace":"3","rockBurstCountProportion":"0.00","mechanize100CountGatherFace":"1","mechanize100CountProportion":"0.33","mineProportion":"0.28","rockBurstCountTotalFace":"0","mineName":"秦华煤矿","intelligentCountTotalFace":"2","intelligentCountGatherFace":"1","intelligentCountProportion":"0.50"},{"rockBurstCountGatherFace":"1","mineCode":"370811032955","mechanize100CountTotalFace":"4","rockBurstCountProportion":"0.33","mechanize100CountGatherFace":"1","mechanize100CountProportion":"0.25","mineProportion":"0.28","rockBurstCountTotalFace":"3","mineName":"王楼煤矿","intelligentCountTotalFace":"4","intelligentCountGatherFace":"1","intelligentCountProportion":"0.25"},{"rockBurstCountGatherFace":"1","mineCode":"150627003943","mechanize100CountTotalFace":"6","rockBurstCountProportion":"0.25","mechanize100CountGatherFace":"2","mechanize100CountProportion":"0.33","mineProportion":"0.28","rockBurstCountTotalFace":"4","mineName":"石拉乌素煤矿","intelligentCountTotalFace":"4","intelligentCountGatherFace":"1","intelligentCountProportion":"0.25"},{"rockBurstCountGatherFace":"0","mineCode":"150623051561","mechanize100CountTotalFace":"6","rockBurstCountProportion":"0.00","mechanize100CountGatherFace":"2","mechanize100CountProportion":"0.33","mineProportion":"0.28","rockBurstCountTotalFace":"0","mineName":"长城六矿","intelligentCountTotalFace":"4","intelligentCountGatherFace":"2","intelligentCountProportion":"0.50"},{"rockBurstCountGatherFace":"0","mineCode":"140931007071","mechanize100CountTotalFace":"8","rockBurstCountProportion":"0.00","mechanize100CountGatherFace":"3","mechanize100CountProportion":"0.38","mineProportion":"0.29","rockBurstCountTotalFace":"0","mineName":"望田煤业","intelligentCountTotalFace":"2","intelligentCountGatherFace":"1","intelligentCountProportion":"0.50"},{"rockBurstCountGatherFace":"2","mineCode":"150623051401","mechanize100CountTotalFace":"6","rockBurstCountProportion":"0.33","mechanize100CountGatherFace":"2","mechanize100CountProportion":"0.33","mineProportion":"0.33","rockBurstCountTotalFace":"6","mineName":"长城二矿","intelligentCountTotalFace":"6","intelligentCountGatherFace":"2","intelligentCountProportion":"0.33"},{"rockBurstCountGatherFace":"2","mineCode":"370826027782","mechanize100CountTotalFace":"6","rockBurstCountProportion":"0.33","mechanize100CountGatherFace":"2","mechanize100CountProportion":"0.33","mineProportion":"0.33","rockBurstCountTotalFace":"6","mineName":"七五煤业","intelligentCountTotalFace":"6","intelligentCountGatherFace":"2","intelligentCountProportion":"0.33"},{"rockBurstCountGatherFace":"1","mineCode":"150626013454","mechanize100CountTotalFace":"3","rockBurstCountProportion":"0.33","mechanize100CountGatherFace":"1","mechanize100CountProportion":"0.33","mineProportion":"0.33","rockBurstCountTotalFace":"3","mineName":"营盘壕煤矿","intelligentCountTotalFace":"3","intelligentCountGatherFace":"1","intelligentCountProportion":"0.33"},{"rockBurstCountGatherFace":"1","mineCode":"371725004138","mechanize100CountTotalFace":"3","rockBurstCountProportion":"0.33","mechanize100CountGatherFace":"1","mechanize100CountProportion":"0.33","mineProportion":"0.33","rockBurstCountTotalFace":"3","mineName":"赵楼煤矿","intelligentCountTotalFace":"3","intelligentCountGatherFace":"1","intelligentCountProportion":"0.33"},{"rockBurstCountGatherFace":"0","mineCode":"654022016200","mechanize100CountTotalFace":"4","rockBurstCountProportion":"0.00","mechanize100CountGatherFace":"2","mechanize100CountProportion":"0.50","mineProportion":"0.33","rockBurstCountTotalFace":"0","mineName":"伊犁能源","intelligentCountTotalFace":"4","intelligentCountGatherFace":"2","intelligentCountProportion":"0.50"},{"rockBurstCountGatherFace":"3","mineCode":"370801003889","mechanize100CountTotalFace":"9","rockBurstCountProportion":"0.38","mechanize100CountGatherFace":"3","mechanize100CountProportion":"0.33","mineProportion":"0.35","rockBurstCountTotalFace":"8","mineName":"济二煤矿","intelligentCountTotalFace":"9","intelligentCountGatherFace":"3","intelligentCountProportion":"0.33"},{"rockBurstCountGatherFace":"2","mineCode":"371724006040","mechanize100CountTotalFace":"6","rockBurstCountProportion":"0.33","mechanize100CountGatherFace":"2","mechanize100CountProportion":"0.33","mineProportion":"0.35","rockBurstCountTotalFace":"6","mineName":"新巨龙煤矿","intelligentCountTotalFace":"5","intelligentCountGatherFace":"2","intelligentCountProportion":"0.40"},{"rockBurstCountGatherFace":"1","mineCode":"370982030836","mechanize100CountTotalFace":"7","rockBurstCountProportion":"0.25","mechanize100CountGatherFace":"2","mechanize100CountProportion":"0.29","mineProportion":"0.35","rockBurstCountTotalFace":"4","mineName":"协庄煤矿","intelligentCountTotalFace":"4","intelligentCountGatherFace":"2","intelligentCountProportion":"0.50"},{"rockBurstCountGatherFace":"2","mineCode":"371725002482","mechanize100CountTotalFace":"5","rockBurstCountProportion":"0.40","mechanize100CountGatherFace":"2","mechanize100CountProportion":"0.40","mineProportion":"0.38","rockBurstCountTotalFace":"5","mineName":"彭庄煤矿","intelligentCountTotalFace":"3","intelligentCountGatherFace":"1","intelligentCountProportion":"0.33"},{"rockBurstCountGatherFace":"1","mineCode":"370883031447","mechanize100CountTotalFace":"7","rockBurstCountProportion":"0.33","mechanize100CountGatherFace":"3","mechanize100CountProportion":"0.43","mineProportion":"0.40","rockBurstCountTotalFace":"3","mineName":"鲍店煤矿","intelligentCountTotalFace":"7","intelligentCountGatherFace":"3","intelligentCountProportion":"0.43"},{"rockBurstCountGatherFace":"0","mineCode":"652923015749","mechanize100CountTotalFace":"2","rockBurstCountProportion":"0.00","mechanize100CountGatherFace":"1","mechanize100CountProportion":"0.50","mineProportion":"0.50","rockBurstCountTotalFace":"0","mineName":"永新煤矿","intelligentCountTotalFace":"1","intelligentCountGatherFace":"1","intelligentCountProportion":"1.00"},{"rockBurstCountGatherFace":"1","mineCode":"371725004145","mechanize100CountTotalFace":"2","rockBurstCountProportion":"0.50","mechanize100CountGatherFace":"1","mechanize100CountProportion":"0.50","mineProportion":"0.50","rockBurstCountTotalFace":"2","mineName":"李楼煤业","intelligentCountTotalFace":"2","intelligentCountGatherFace":"1","intelligentCountProportion":"0.50"},{"rockBurstCountGatherFace":"2","mineCode":"370401026994","mechanize100CountTotalFace":"3","rockBurstCountProportion":"0.67","mechanize100CountGatherFace":"2","mechanize100CountProportion":"0.67","mineProportion":"0.67","rockBurstCountTotalFace":"3","mineName":"田陈煤矿","intelligentCountTotalFace":"3","intelligentCountGatherFace":"2","intelligentCountProportion":"0.67"},{"rockBurstCountGatherFace":"1","mineCode":"371724034908","mechanize100CountTotalFace":"1","rockBurstCountProportion":"1.00","mechanize100CountGatherFace":"1","mechanize100CountProportion":"1.00","mineProportion":"1.00","rockBurstCountTotalFace":"1","mineName":"万福能源","intelligentCountTotalFace":"1","intelligentCountGatherFace":"1","intelligentCountProportion":"1.00"}]}</t>
  </si>
  <si>
    <t>{"msg":"操作成功","code":200,"data":{"proportion":"0.43","datas":[{"id":"10040","name":"兖矿能源","num":14,"value":63,"totalValue":146},{"id":"10048","name":"新矿集团","num":13,"value":34,"totalValue":70},{"id":"10053","name":"西北矿业","num":10,"value":34,"totalValue":87},{"id":"10044","name":"鲁西矿业","num":13,"value":41,"totalValue":99},{"id":"10047","name":"枣矿集团","num":10,"value":33,"totalValue":82},{"id":"10046","name":"新疆能化","num":5,"value":11,"totalValue":22},{"id":"10052","name":"贵州矿业","num":1,"value":3,"totalValue":8}],"oneNum":7,"twoNum":66}}</t>
  </si>
  <si>
    <t>{"msg":"操作成功","code":200,"data":{"productionWeigh":"0.00","footageGather":"23240.46","footageFill":"64963.97","productionFill":"100047045.00","productionCount":"22442291.86"}}</t>
  </si>
  <si>
    <t>{"msg":"操作成功","code":200,"data":{"productionWeigh":"0.00","footageGather":"50430.23","footageFill":"148833.46","productionFill":"8292545.00","footagePlan":"146166.28","productionCount":"927605.25"}}</t>
  </si>
  <si>
    <t>{"status":"10000","msg":"success","data":1}</t>
  </si>
  <si>
    <t>{"status":"10000","msg":"success","data":29}</t>
  </si>
  <si>
    <t>{"status":"10000","msg":"success","data":0}</t>
  </si>
  <si>
    <t>{"status":"10000","msg":null,"data":{"records":[{"id":79113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14:45:00","warningAlarmInfoHandelTime":null,"warningAlarmInfoUpdateTime":"2026-08-18 14:45:00","warningAlarmInfoParam":"南翼胶带输送机大巷（延伸），数据采集断线超过预设时间 (30 分钟)，最新数据时间：2026-08-18 14:11:04","alertType":"系统报警","baname":"工作面离线","b2name":"报警","bainame":"南翼胶带输送机大巷（延伸）报警","count":null,"bdataAlertPushMids":null,"oid":null,"indicatorSystemRelatives":null,"updateTime":null,"algConfigId":null,"cameraId":null,"type":null,"mineCode":"370801003889","mineName":"济二煤矿","miningFaceId":"1986646837734768641","miningFaceName":"南翼胶带输送机大巷（延伸）","createTime":null,"miningFaceType":"head","orgCode":"10040","orgName":"兖矿能源","isConfig":null,"warningAlarmInfoId":543549,"warningAlarmInfoHandle":0,"reportStatus":"未报备","reportId":null,"disposeStatus":"待处置","responseStatus":"未响应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68135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13:00:00","warningAlarmInfoHandelTime":null,"warningAlarmInfoUpdateTime":"2026-08-18 13:00:00","warningAlarmInfoParam":"3301运顺，数据采集断线超过预设时间 (30 分钟)，最新数据时间：2026-08-18 12:25:32","alertType":"系统报警","baname":"工作面离线","b2name":"报警","bainame":"3301运顺报警","count":null,"bdataAlertPushMids":null,"oid":null,"indicatorSystemRelatives":null,"updateTime":null,"algConfigId":null,"cameraId":null,"type":null,"mineCode":"370883003032","mineName":"东滩煤矿","miningFaceId":"1934870099220176897","miningFaceName":"3301运顺","createTime":null,"miningFaceType":"head","orgCode":"10040","orgName":"兖矿能源","isConfig":null,"warningAlarmInfoId":543547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109232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10:15:00","warningAlarmInfoParam":"11208运输顺槽反掘，数据采集断线超过预设时间 (30 分钟)，最新数据时间：2026-08-18 09:41:32","alertType":"系统报警","baname":"工作面离线","b2name":"报警","bainame":"11208运输顺槽反掘报警","count":null,"bdataAlertPushMids":null,"oid":null,"indicatorSystemRelatives":null,"updateTime":null,"algConfigId":null,"cameraId":null,"type":null,"mineCode":"140931007071","mineName":"望田煤业","miningFaceId":"2071126179332718594","miningFaceName":"11208运输顺槽反掘","createTime":null,"miningFaceType":"head","orgCode":"10053","orgName":"西北矿业","isConfig":null,"warningAlarmInfoId":543541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81458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10:15:00","warningAlarmInfoParam":"11209综采工作面，数据采集断线超过预设时间 (30 分钟)，最新数据时间：2026-08-18 09:41:32","alertType":"系统报警","baname":"工作面离线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543540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100840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09:15:00","warningAlarmInfoHandelTime":null,"warningAlarmInfoUpdateTime":"2026-08-18 09:15:00","warningAlarmInfoParam":"6410综采工作面，数据采集断线超过预设时间 (30 分钟)，最新数据时间：2026-08-18 08:44:40","alertType":"系统报警","baname":"工作面离线","b2name":"报警","bainame":"6410综采工作面报警","count":null,"bdataAlertPushMids":null,"oid":null,"indicatorSystemRelatives":null,"updateTime":null,"algConfigId":null,"cameraId":null,"type":null,"mineCode":"370982030705","mineName":"翟镇煤矿","miningFaceId":"1979383673138630657","miningFaceName":"6410综采工作面","createTime":null,"miningFaceType":"coal","orgCode":"10048","orgName":"新矿集团","isConfig":null,"warningAlarmInfoId":543535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107565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08:00:00","warningAlarmInfoHandelTime":null,"warningAlarmInfoUpdateTime":"2026-08-18 08:00:00","warningAlarmInfoParam":"21102回风巷，数据采集断线超过预设时间 (30 分钟)，最新数据时间：2026-08-18 07:25:28","alertType":"系统报警","baname":"工作面离线","b2name":"报警","bainame":"21102回风巷报警","count":null,"bdataAlertPushMids":null,"oid":null,"indicatorSystemRelatives":null,"updateTime":null,"algConfigId":null,"cameraId":null,"type":null,"mineCode":"140603004408","mineName":"大恒煤业","miningFaceId":"1983426489026797570","miningFaceName":"21102回风巷","createTime":null,"miningFaceType":"head","orgCode":"10053","orgName":"西北矿业","isConfig":null,"warningAlarmInfoId":543530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108724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00:10:00","warningAlarmInfoHandelTime":null,"warningAlarmInfoUpdateTime":"2026-08-18 00:10:00","warningAlarmInfoParam":"1206B胶运南段（北），数据采集断线超过预设时间 (30 分钟)，最新数据时间：2026-08-17 23:36:11","alertType":"系统报警","baname":"工作面离线","b2name":"报警","bainame":"1206B胶运南段（北）报警","count":null,"bdataAlertPushMids":null,"oid":null,"indicatorSystemRelatives":null,"updateTime":null,"algConfigId":null,"cameraId":null,"type":null,"mineCode":"150627003943","mineName":"石拉乌素煤矿","miningFaceId":"2068622414489292801","miningFaceName":"1206B胶运南段（北）","createTime":null,"miningFaceType":"head","orgCode":"10040","orgName":"兖矿能源","isConfig":null,"warningAlarmInfoId":543521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108092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19:20:00","warningAlarmInfoHandelTime":null,"warningAlarmInfoUpdateTime":"2026-08-17 19:20:00","warningAlarmInfoParam":"九采辅运巷，数据采集断线超过预设时间 (30 分钟)，最新数据时间：2026-08-17 18:47:14","alertType":"系统报警","baname":"工作面离线","b2name":"报警","bainame":"九采辅运巷报警","count":null,"bdataAlertPushMids":null,"oid":null,"indicatorSystemRelatives":null,"updateTime":null,"algConfigId":null,"cameraId":null,"type":null,"mineCode":"370883031447","mineName":"鲍店煤矿","miningFaceId":"2070405924510175234","miningFaceName":"九采辅运巷","createTime":null,"miningFaceType":"head","orgCode":"10040","orgName":"兖矿能源","isConfig":null,"warningAlarmInfoId":543515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106532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09:15:00","warningAlarmInfoHandelTime":null,"warningAlarmInfoUpdateTime":"2026-08-17 09:15:00","warningAlarmInfoParam":"23下02轨道巷（1），数据采集断线超过预设时间 (30 分钟)，最新数据时间：2026-08-17 08:43:52","alertType":"系统报警","baname":"工作面离线","b2name":"报警","bainame":"23下02轨道巷（1）报警","count":null,"bdataAlertPushMids":null,"oid":null,"indicatorSystemRelatives":null,"updateTime":null,"algConfigId":null,"cameraId":null,"type":null,"mineCode":"370826027782","mineName":"七五煤业","miningFaceId":"2073312083740590081","miningFaceName":"23下02轨道巷（1）","createTime":null,"miningFaceType":"head","orgCode":"10047","orgName":"枣矿集团","isConfig":null,"warningAlarmInfoId":543495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99280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18:15:00","warningAlarmInfoHandelTime":null,"warningAlarmInfoUpdateTime":"2026-08-16 18:15:00","warningAlarmInfoParam":"7311综采工作面，数据采集断线超过预设时间 (30 分钟)，最新数据时间：2026-08-16 17:43:07","alertType":"系统报警","baname":"工作面离线","b2name":"报警","bainame":"7311综采工作面报警","count":null,"bdataAlertPushMids":null,"oid":null,"indicatorSystemRelatives":null,"updateTime":null,"algConfigId":null,"cameraId":null,"type":null,"mineCode":"370811032955","mineName":"王楼煤矿","miningFaceId":"1867550432680353794","miningFaceName":"7311综采工作面","createTime":null,"miningFaceType":"coal","orgCode":"10044","orgName":"鲁西矿业","isConfig":null,"warningAlarmInfoId":543457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107669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16:10:00","warningAlarmInfoHandelTime":null,"warningAlarmInfoUpdateTime":"2026-08-16 16:10:00","warningAlarmInfoParam":"11101回风巷-2，数据采集断线超过预设时间 (30 分钟)，最新数据时间：2026-08-16 15:36:32","alertType":"系统报警","baname":"工作面离线","b2name":"报警","bainame":"11101回风巷-2报警","count":null,"bdataAlertPushMids":null,"oid":null,"indicatorSystemRelatives":null,"updateTime":null,"algConfigId":null,"cameraId":null,"type":null,"mineCode":"140603004408","mineName":"大恒煤业","miningFaceId":"1868561876802265090","miningFaceName":"11101回风巷-2","createTime":null,"miningFaceType":"head","orgCode":"10053","orgName":"西北矿业","isConfig":null,"warningAlarmInfoId":543456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51804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15:30:00","warningAlarmInfoHandelTime":null,"warningAlarmInfoUpdateTime":"2026-08-16 15:30:00","warningAlarmInfoParam":"1123225综放工作面，数据采集断线超过预设时间 (30 分钟)，最新数据时间：2026-08-16 14:59:16","alertType":"系统报警","baname":"工作面离线","b2name":"报警","bainame":"1123225综放工作面报警","count":null,"bdataAlertPushMids":null,"oid":null,"indicatorSystemRelatives":null,"updateTime":null,"algConfigId":null,"cameraId":null,"type":null,"mineCode":"654023016136","mineName":"伊新煤业","miningFaceId":"1661533579677630466","miningFaceName":"1123225综放工作面","createTime":null,"miningFaceType":"coal","orgCode":"10046","orgName":"新疆能化","isConfig":null,"warningAlarmInfoId":543453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82473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07:30:00","warningAlarmInfoHandelTime":null,"warningAlarmInfoUpdateTime":"2026-08-16 07:30:00","warningAlarmInfoParam":"7308辅顺里段，数据采集断线超过预设时间 (30 分钟)，最新数据时间：2026-08-16 06:57:35","alertType":"系统报警","baname":"工作面离线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543424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77012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16:55:00","warningAlarmInfoHandelTime":null,"warningAlarmInfoUpdateTime":"2026-08-15 16:55:00","warningAlarmInfoParam":"31607运输巷，数据采集断线超过预设时间 (30 分钟)，最新数据时间：2026-08-15 16:24:47","alertType":"系统报警","baname":"工作面离线","b2name":"报警","bainame":"31607运输巷报警","count":null,"bdataAlertPushMids":null,"oid":null,"indicatorSystemRelatives":null,"updateTime":null,"algConfigId":null,"cameraId":null,"type":null,"mineCode":"370481032042","mineName":"蒋庄煤矿","miningFaceId":"1992438488054345729","miningFaceName":"31607运输巷","createTime":null,"miningFaceType":"head","orgCode":"10047","orgName":"枣矿集团","isConfig":null,"warningAlarmInfoId":543381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109311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11:35:00","warningAlarmInfoHandelTime":null,"warningAlarmInfoUpdateTime":"2026-08-15 11:35:00","warningAlarmInfoParam":"210-503主运巷（里段），数据采集断线超过预设时间 (30 分钟)，最新数据时间：2026-08-15 11:02:56","alertType":"系统报警","baname":"工作面离线","b2name":"报警","bainame":"210-503主运巷（里段）报警","count":null,"bdataAlertPushMids":null,"oid":null,"indicatorSystemRelatives":null,"updateTime":null,"algConfigId":null,"cameraId":null,"type":null,"mineCode":"652801020222","mineName":"秦华煤矿","miningFaceId":"2057833480433360897","miningFaceName":"210-503主运巷（里段）","createTime":null,"miningFaceType":"head","orgCode":"10046","orgName":"新疆能化","isConfig":null,"warningAlarmInfoId":543372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108540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09:35:00","warningAlarmInfoHandelTime":null,"warningAlarmInfoUpdateTime":"2026-08-15 09:35:00","warningAlarmInfoParam":"4-1煤南翼泄水边界巷，数据采集断线超过预设时间 (30 分钟)，最新数据时间：2026-08-15 09:02:52","alertType":"系统报警","baname":"工作面离线","b2name":"报警","bainame":"4-1煤南翼泄水边界巷报警","count":null,"bdataAlertPushMids":null,"oid":null,"indicatorSystemRelatives":null,"updateTime":null,"algConfigId":null,"cameraId":null,"type":null,"mineCode":"150627003943","mineName":"石拉乌素煤矿","miningFaceId":"2068304987796668417","miningFaceName":"4-1煤南翼泄水边界巷","createTime":null,"miningFaceType":"head","orgCode":"10040","orgName":"兖矿能源","isConfig":null,"warningAlarmInfoId":543361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103820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06:15:00","warningAlarmInfoHandelTime":null,"warningAlarmInfoUpdateTime":"2026-08-15 06:15:00","warningAlarmInfoParam":"13上05辅运巷，数据采集断线超过预设时间 (30 分钟)，最新数据时间：2026-08-15 05:42:24","alertType":"系统报警","baname":"工作面离线","b2name":"报警","bainame":"13上05辅运巷报警","count":null,"bdataAlertPushMids":null,"oid":null,"indicatorSystemRelatives":null,"updateTime":null,"algConfigId":null,"cameraId":null,"type":null,"mineCode":"150623013321","mineName":"长城三矿","miningFaceId":"1981185995244806146","miningFaceName":"13上05辅运巷","createTime":null,"miningFaceType":"head","orgCode":"10048","orgName":"新矿集团","isConfig":null,"warningAlarmInfoId":543354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82455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-15 04:05:00","warningAlarmInfoHandelTime":null,"warningAlarmInfoUpdateTime":"2026-08-15 04:05:00","warningAlarmInfoParam":"7308辅顺里段，天线数据异常，时间: 2026-08-11 11:42:08","alertType":"系统报警","baname":"天线数据异常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543346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107278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00:30:00","warningAlarmInfoHandelTime":null,"warningAlarmInfoUpdateTime":"2026-08-15 00:30:00","warningAlarmInfoParam":"73上07辅助进风巷，数据采集断线超过预设时间 (30 分钟)，最新数据时间：2026-08-14 23:59:26","alertType":"系统报警","baname":"工作面离线","b2name":"报警","bainame":"73上07辅助进风巷报警","count":null,"bdataAlertPushMids":null,"oid":null,"indicatorSystemRelatives":null,"updateTime":null,"algConfigId":null,"cameraId":null,"type":null,"mineCode":"370882032954","mineName":"新驿煤矿","miningFaceId":"2077940110141915138","miningFaceName":"73上07辅助进风巷","createTime":null,"miningFaceType":"head","orgCode":"10044","orgName":"鲁西矿业","isConfig":null,"warningAlarmInfoId":543333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81439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-14 21:40:00","warningAlarmInfoHandelTime":null,"warningAlarmInfoUpdateTime":"2026-08-14 21:40:00","warningAlarmInfoParam":"11209综采工作面，天线数据异常，时间: 2026-08-14 21:29:09","alertType":"系统报警","baname":"天线数据异常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543329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107313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-14 15:55:00","warningAlarmInfoHandelTime":null,"warningAlarmInfoUpdateTime":"2026-08-14 15:55:00","warningAlarmInfoParam":"1904运输巷，数据采集断线超过预设时间 (30 分钟)，最新数据时间：2026-08-14 15:24:00","alertType":"系统报警","baname":"工作面离线","b2name":"报警","bainame":"1904运输巷报警","count":null,"bdataAlertPushMids":null,"oid":null,"indicatorSystemRelatives":null,"updateTime":null,"algConfigId":null,"cameraId":null,"type":null,"mineCode":"150623051561","mineName":"长城六矿","miningFaceId":"2068299485307723778","miningFaceName":"1904运输巷","createTime":null,"miningFaceType":"head","orgCode":"10048","orgName":"新矿集团","isConfig":null,"warningAlarmInfoId":543313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81335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-14 14:10:00","warningAlarmInfoHandelTime":null,"warningAlarmInfoUpdateTime":"2026-08-14 14:10:00","warningAlarmInfoParam":"210-504综采工作面，数据采集断线超过预设时间 (30 分钟)，最新数据时间：2026-08-14 13:37:58","alertType":"系统报警","baname":"工作面离线","b2name":"报警","bainame":"210-504综采工作面报警","count":null,"bdataAlertPushMids":null,"oid":null,"indicatorSystemRelatives":null,"updateTime":null,"algConfigId":null,"cameraId":null,"type":null,"mineCode":"652801020222","mineName":"秦华煤矿","miningFaceId":"1847572232084905985","miningFaceName":"210-504综采工作面","createTime":null,"miningFaceType":"coal","orgCode":"10046","orgName":"新疆能化","isConfig":null,"warningAlarmInfoId":543311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76530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-12 15:05:00","warningAlarmInfoHandelTime":null,"warningAlarmInfoUpdateTime":"2026-08-12 15:05:00","warningAlarmInfoParam":"1507综采工作面，数据采集断线超过预设时间 (30 分钟)，最新数据时间：2026-08-12 14:32:00","alertType":"系统报警","baname":"工作面离线","b2name":"报警","bainame":"1507综采工作面报警","count":null,"bdataAlertPushMids":null,"oid":null,"indicatorSystemRelatives":null,"updateTime":null,"algConfigId":null,"cameraId":null,"type":null,"mineCode":"610623008919","mineName":"永明煤矿","miningFaceId":"1927570622629273602","miningFaceName":"1507综采工作面","createTime":null,"miningFaceType":"coal","orgCode":"10053","orgName":"西北矿业","isConfig":null,"warningAlarmInfoId":543227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107242,"name":null,"typeId":87,"active":null,"indictor":"工作面离线","condition":"工作面离线&gt;1800秒产生报警","oper":"预警信息推送给指定负责人","reminder":null,"sms":null,"</t>
  </si>
  <si>
    <t>{"code":200,"success":true,"data":[],"msg":"操作成功"}</t>
  </si>
  <si>
    <t>{"msg":"操作成功","code":200,"data":{"totalChengzhong":0,"listjj":[{"companyId":"10040","mineId":"","numberchengzhong":0,"time":"兖矿能源","numbertianbao":"5195747.00","numbercjjs":"888599751.80"},{"companyId":"10048","mineId":"","numberchengzhong":0,"time":"新矿集团","numbertianbao":"2001344.00","numbercjjs":"69971.96"},{"companyId":"10053","mineId":"","numberchengzhong":0,"time":"西北矿业","numbertianbao":"2251040.50","numbercjjs":"1170.76"},{"companyId":"10044","mineId":"","numberchengzhong":0,"time":"鲁西矿业","numbertianbao":"1245098.00","numbercjjs":"319139.67"},{"companyId":"10047","mineId":"","numberchengzhong":0,"time":"枣矿集团","numbertianbao":"779549.00","numbercjjs":"147472.92"},{"companyId":"10046","mineId":"","numberchengzhong":0,"time":"新疆能化","numbertianbao":"1835003.00","numbercjjs":"1058772.72"},{"companyId":"10052","mineId":"","numberchengzhong":0,"time":"贵州矿业","numbertianbao":"57907.00","numbercjjs":"0.00"}],"totalPlan":"11471227.03","totalCjjs":"890196279.83","ljjj":"13365688.50","totalTbjs":"711540926.77"}}</t>
  </si>
  <si>
    <t>{"msg":"操作成功","code":200,"data":[{"endDate":"2026-03-31","headFootage":"62522.32","quarterName":"一季度","coalFootage":"25704.96","startDate":"2026-01-01"},{"endDate":"2026-06-30","headFootage":"49025.92","quarterName":"二季度","coalFootage":"24123.13","startDate":"2026-04-01"},{"endDate":"2026-09-30","headFootage":"37285.22","quarterName":"三季度","coalFootage":"14040.17","startDate":"2026-07-01"},{"endDate":"2026-12-31","headFootage":"0.00","quarterName":"四季度","coalFootage":"0.00","startDate":"2026-10-01"}]}</t>
  </si>
  <si>
    <t>{"msg":"操作成功","code":200,"data":{"hcTotal":"47594.82","jjTotal":"140540.74","jjzhunbei":"12139.20","jjkaituo":"16129.50","total":"188135.56","jjhuicai":"111388.04","hcclTotal":"7534.61"}}</t>
  </si>
  <si>
    <t>{"msg":"操作成功","code":200,"data":{"hcShengNei":"25773.42","jjShengNei":"81015.21","hcShengWai":"21821.40","jjShengWai":"59525.53","totalShengNei":"106788.63","totalShengWai":"81346.93"}}</t>
  </si>
  <si>
    <t>{"msg":"操作成功","code":200,"data":[{"footageGather":"4248.47","footageActual":"4028.92","areaName":"山东","footagePlan":"3655.50"},{"footageGather":"724.87","footageActual":"549.40","areaName":"新疆","footagePlan":"198.89"},{"footageGather":"81.20","footageActual":"46.30","areaName":"贵州","footagePlan":"1.80"},{"footageGather":"368.42","footageActual":"836.80","areaName":"陕西","footagePlan":"120.42"},{"footageGather":"-314.20","footageActual":"2195.45","areaName":"内蒙古","footagePlan":"1520.00"},{"footageGather":"99.91","footageActual":"269.40","areaName":"山西","footagePlan":"297.60"},{"footageGather":"559.74","footageActual":"358.00","areaName":"甘肃","footagePlan":"14.89"}]}</t>
  </si>
  <si>
    <t>{"status":"10000","msg":"success","data":{"records":[{"groupCode":"10040","groupSort":90,"total":14,"online":14,"offline":0,"unmonitored":0,"lastUploadDate":"2026-08-18 15:00:07"},{"groupCode":"10048","groupSort":80,"total":14,"online":12,"offline":1,"unmonitored":1,"lastUploadDate":"2026-08-18 15:03:22"},{"groupCode":"10053","groupSort":70,"total":10,"online":10,"offline":0,"unmonitored":0,"lastUploadDate":"2026-08-18 14:59:08"},{"groupCode":"10044","groupSort":60,"total":13,"online":12,"offline":1,"unmonitored":0,"lastUploadDate":"2026-08-18 14:59:22"},{"groupCode":"10047","groupSort":50,"total":10,"online":9,"offline":1,"unmonitored":0,"lastUploadDate":"2026-08-18 14:59:24"},{"groupCode":"10046","groupSort":40,"total":5,"online":3,"offline":2,"unmonitored":0,"lastUploadDate":"2026-08-18 14:59:07"},{"groupCode":"10052","groupSort":30,"total":1,"online":1,"offline":0,"unmonitored":0,"lastUploadDate":"2026-08-18 14:59:02"}],"total":"7","size":"100","current":"1","orders":[{"column":"group_sort","asc":false}],"optimizeCountSql":true,"hitCount":false,"searchCount":true,"pages":"1"}}</t>
  </si>
  <si>
    <t>{"status":"10000","msg":"success","data":[{"mineCode":null,"mineName":null,"orgCode":"10040","orgName":"兖矿能源","miningFaceId":null,"miningFaceName":null,"miningFaceType":null,"jcNum":0,"eleNum":0,"offLineNum":591,"distanceNum":25,"signalNum":0,"antennaResverseNum":14,"threeNoNum":0,"loseDistanceNum":35,"dayJcNum":0,"monthJcNum":0,"mineOffLineNum":7,"unBindNum":0,"noCollectNum":0,"noUpdateNum":0,"noFillingNum":1,"mineFileNum":0,"companyFileNum":0,"actualJsNum":0,"gatherJsNum":0,"gatherJsAllNum":0,"companyName":null,"companyCode":null,"faceStatus":null,"aa":null,"offLineDuration":null},{"mineCode":null,"mineName":null,"orgCode":"10044","orgName":"鲁西矿业","miningFaceId":null,"miningFaceName":null,"miningFaceType":null,"jcNum":0,"eleNum":31,"offLineNum":730,"distanceNum":8,"signalNum":195,"antennaResverseNum":52,"threeNoNum":0,"loseDistanceNum":39,"dayJcNum":0,"monthJcNum":0,"mineOffLineNum":8,"unBindNum":0,"noCollectNum":0,"noUpdateNum":0,"noFillingNum":0,"mineFileNum":0,"companyFileNum":0,"actualJsNum":0,"gatherJsNum":0,"gatherJsAllNum":0,"companyName":null,"companyCode":null,"faceStatus":null,"aa":null,"offLineDuration":null},{"mineCode":null,"mineName":null,"orgCode":"10046","orgName":"新疆能化","miningFaceId":null,"miningFaceName":null,"miningFaceType":null,"jcNum":0,"eleNum":0,"offLineNum":51,"distanceNum":1,"signalNum":3,"antennaResverseNum":2,"threeNoNum":0,"loseDistanceNum":9,"dayJcNum":0,"monthJcNum":0,"mineOffLineNum":6,"unBindNum":0,"noCollectNum":0,"noUpdateNum":0,"noFillingNum":0,"mineFileNum":0,"companyFileNum":0,"actualJsNum":0,"gatherJsNum":0,"gatherJsAllNum":0,"companyName":null,"companyCode":null,"faceStatus":null,"aa":null,"offLineDuration":null},{"mineCode":null,"mineName":null,"orgCode":"10047","orgName":"枣矿集团","miningFaceId":null,"miningFaceName":null,"miningFaceType":null,"jcNum":0,"eleNum":7,"offLineNum":447,"distanceNum":0,"signalNum":42,"antennaResverseNum":1,"threeNoNum":0,"loseDistanceNum":12,"dayJcNum":0,"monthJcNum":0,"mineOffLineNum":2,"unBindNum":0,"noCollectNum":0,"noUpdateNum":0,"noFillingNum":0,"mineFileNum":0,"companyFileNum":0,"actualJsNum":0,"gatherJsNum":0,"gatherJsAllNum":0,"companyName":null,"companyCode":null,"faceStatus":null,"aa":null,"offLineDuration":null},{"mineCode":null,"mineName":null,"orgCode":"10048","orgName":"新矿集团","miningFaceId":null,"miningFaceName":null,"miningFaceType":null,"jcNum":29,"eleNum":2,"offLineNum":421,"distanceNum":5,"signalNum":4,"antennaResverseNum":16,"threeNoNum":0,"loseDistanceNum":22,"dayJcNum":0,"monthJcNum":0,"mineOffLineNum":22,"unBindNum":0,"noCollectNum":0,"noUpdateNum":0,"noFillingNum":0,"mineFileNum":0,"companyFileNum":0,"actualJsNum":0,"gatherJsNum":0,"gatherJsAllNum":0,"companyName":null,"companyCode":null,"faceStatus":null,"aa":null,"offLineDuration":null},{"mineCode":null,"mineName":null,"orgCode":"10052","orgName":"贵州矿业","miningFaceId":null,"miningFaceName":null,"miningFaceType":null,"jcNum":0,"eleNum":0,"offLineNum":20,"distanceNum":0,"signalNum":0,"antennaResverseNum":0,"threeNoNum":0,"loseDistanceNum":0,"dayJcNum":0,"monthJcNum":0,"mineOffLineNum":2,"unBindNum":0,"noCollectNum":0,"noUpdateNum":0,"noFillingNum":0,"mineFileNum":0,"companyFileNum":0,"actualJsNum":0,"gatherJsNum":0,"gatherJsAllNum":0,"companyName":null,"companyCode":null,"faceStatus":null,"aa":null,"offLineDuration":null},{"mineCode":null,"mineName":null,"orgCode":"10053","orgName":"西北矿业","miningFaceId":null,"miningFaceName":null,"miningFaceType":null,"jcNum":0,"eleNum":3,"offLineNum":311,"distanceNum":11,"signalNum":5,"antennaResverseNum":13,"threeNoNum":0,"loseDistanceNum":2,"dayJcNum":0,"monthJcNum":0,"mineOffLineNum":0,"unBindNum":0,"noCollectNum":0,"noUpdateNum":0,"noFillingNum":0,"mineFileNum":0,"companyFileNum":0,"actualJsNum":0,"gatherJsNum":0,"gatherJsAllNum":0,"companyName":null,"companyCode":null,"faceStatus":null,"aa":null,"offLineDuration":null}]}</t>
  </si>
  <si>
    <t>{"msg":"操作成功","code":200,"data":{"coalList":[{"actual":"93.00","total":"171.00","name":"计划日报完成度","ratio":"54.00"},{"actual":"93.00","total":"171.00","name":"完成日报完成度","ratio":"54.00"},{"actual":"76.00","total":"171.00","name":"采集日报完成度","ratio":"44.00"}],"headList":[{"actual":"126.00","total":"343.00","name":"计划日报完成度","ratio":"37.00"},{"actual":"126.00","total":"343.00","name":"完成日报完成度","ratio":"37.00"},{"actual":"89.00","total":"343.00","name":"采集日报完成度","ratio":"26.00"}]}}</t>
  </si>
  <si>
    <t>{"msg":"操作成功","code":200,"data":[{"loadNum":182,"deptName":"兖矿能源","offline":26,"gatherNum":72,"online":46,"deptCode":"10040"},{"loadNum":83,"deptName":"新矿集团","offline":14,"gatherNum":36,"online":22,"deptCode":"10048"},{"loadNum":91,"deptName":"西北矿业","offline":11,"gatherNum":38,"online":27,"deptCode":"10053"},{"loadNum":125,"deptName":"鲁西矿业","offline":19,"gatherNum":53,"online":34,"deptCode":"10044"},{"loadNum":89,"deptName":"枣矿集团","offline":12,"gatherNum":40,"online":28,"deptCode":"10047"},{"loadNum":26,"deptName":"新疆能化","offline":10,"gatherNum":14,"online":4,"deptCode":"10046"},{"loadNum":9,"deptName":"贵州矿业","offline":2,"gatherNum":4,"online":2,"deptCode":"10052"}]}</t>
  </si>
  <si>
    <t>{"msg":"操作成功","code":200,"data":[{"tbcjf":"-841.31","companyId":"10040","tbcj":"841.31","mineId":"","name":"兖矿能源","jhtbf":"-515.32","jhtb":"515.32"},{"tbcjf":"-62.88","companyId":"10048","tbcj":"62.88","mineId":"","name":"新矿集团","jhtbf":"-539.65","jhtb":"539.65"},{"tbcjf":"-2201.21","companyId":"10053","tbcj":"2201.21","mineId":"","name":"西北矿业","jhtbf":"-884.09","jhtb":"884.09"},{"tbcjf":"395.70","companyId":"10044","tbcj":"395.70","mineId":"","name":"鲁西矿业","jhtbf":"-80.80","jhtb":"80.80"},{"tbcjf":"-16.53","companyId":"10047","tbcj":"16.53","mineId":"","name":"枣矿集团","jhtbf":"-60.30","jhtb":"60.30"},{"tbcjf":"175.47","companyId":"10046","tbcj":"175.47","mineId":"","name":"新疆能化","jhtbf":"-350.51","jhtb":"350.51"},{"tbcjf":"34.90","companyId":"10052","tbcj":"34.90","mineId":"","name":"贵州矿业","jhtbf":"-44.50","jhtb":"44.50"}]}</t>
  </si>
  <si>
    <t>{"msg":"操作成功","code":200,"data":[{"coalRoadPlan":"3599.60","deptName":"兖矿能源","coalRockGather":"1615.10","coalRoadActual":"4344.01","rocksLanePlan":"334.30","rocksLaneActual":"358.80","coalRockPlan":"1305.80","coalRoadGather":"5406.62","rocksLaneGather":"338.74","deptCode":"10040","coalRockActual":"1689.60"},{"coalRoadPlan":"606.50","deptName":"新矿集团","coalRockGather":"1889.16","coalRoadActual":"715.00","rocksLanePlan":"0.00","rocksLaneActual":"0.00","coalRockPlan":"1877.40","coalRoadGather":"1368.87","rocksLaneGather":"1.00","deptCode":"10048","coalRockActual":"1761.10"},{"coalRoadPlan":"1308.73","deptName":"西北矿业","coalRockGather":"1135.31","coalRoadActual":"1573.00","rocksLanePlan":"399.90","rocksLaneActual":"286.00","coalRockPlan":"724.80","coalRoadGather":"1719.11","rocksLaneGather":"210.20","deptCode":"10053","coalRockActual":"883.76"},{"coalRoadPlan":"1743.60","deptName":"鲁西矿业","coalRockGather":"1668.53","coalRoadActual":"1733.30","rocksLanePlan":"717.00","rocksLaneActual":"839.90","coalRockPlan":"1544.50","coalRoadGather":"1737.66","rocksLaneGather":"719.57","deptCode":"10044","coalRockActual":"1775.50"},{"coalRoadPlan":"2392.00","deptName":"枣矿集团","coalRockGather":"1273.74","coalRoadActual":"2728.70","rocksLanePlan":"149.20","rocksLaneActual":"142.40","coalRockPlan":"1222.70","coalRoadGather":"2275.79","rocksLaneGather":"64.01","deptCode":"10047","coalRockActual":"1335.10"},{"coalRoadPlan":"1339.47","deptName":"新疆能化","coalRockGather":"28.56","coalRoadActual":"1034.90","rocksLanePlan":"249.86","rocksLaneActual":"386.40","coalRockPlan":"38.80","coalRoadGather":"869.24","rocksLaneGather":"375.01","deptCode":"10046","coalRockActual":"24.00"},{"coalRoadPlan":"150.00","deptName":"贵州矿业","coalRockGather":"0.00","coalRoadActual":"46.80","rocksLanePlan":"0.00","rocksLaneActual":"0.00","coalRockPlan":"0.00","coalRoadGather":"54.00","rocksLaneGather":"0.00","deptCode":"10052","coalRockActual":"0.00"},{"coalRoadPlan":"0.00","deptName":"山能XN","coalRockGather":"0.00","coalRoadActual":"0.00","rocksLanePlan":"0.00","rocksLaneActual":"0.00","coalRockPlan":"0.00","coalRoadGather":"0.00","rocksLaneGather":"0.00","deptCode":"10055","coalRockActual":"0.00"}]}</t>
  </si>
  <si>
    <t>{"msg":"操作成功","code":200,"data":{"yhPlan":"1850.26","ktCj":"2816.76","ktTb":"2432.70","yhTb":"2013.50","zbPlan":"1937.41","ktPlan":"2216.14","zbTb":"2350.00","yhCj":"1708.53","mhCj":"13431.29","hcCj":"18592.88","bmyhCj":"0.00","hcPlan":"15792.73","zbCj":"1714.13","bmyhPlan":"0.00","hcTb":"17306.57","mhTb":"12175.71","mhPlan":"11139.90","bmyhTb":"0.00"}}</t>
  </si>
  <si>
    <t>{"msg":"操作成功","code":200,"data":[{"preparationActual":"710.70","deptName":"兖矿能源","pioneerActual":"841.70","miningGather":"5883.73","pioneerPlan":"769.00","miningPlan":"3686.70","miningActual":"4844.01","preparationGather":"688.03","preparationPlan":"796.00","pioneerGather":"920.01","deptCode":"10040"},{"preparationActual":"274.20","deptName":"新矿集团","pioneerActual":"0.00","miningGather":"2777.94","pioneerPlan":"0.00","miningPlan":"2252.60","miningActual":"2201.90","preparationGather":"300.25","preparationPlan":"231.30","pioneerGather":"180.84","deptCode":"10048"},{"preparationActual":"280.00","deptName":"西北矿业","pioneerActual":"633.40","miningGather":"2494.72","pioneerPlan":"639.84","miningPlan":"1823.66","miningActual":"2156.36","preparationGather":"8.10","preparationPlan":"110.05","pioneerGather":"714.86","deptCode":"10053"},{"preparationActual":"481.80","deptName":"鲁西矿业","pioneerActual":"552.10","miningGather":"3348.58","pioneerPlan":"481.00","miningPlan":"3218.10","miningActual":"3414.80","preparationGather":"282.69","preparationPlan":"396.00","pioneerGather":"583.67","deptCode":"10044"},{"preparationActual":"327.40","deptName":"枣矿集团","pioneerActual":"49.30","miningGather":"3269.67","pioneerPlan":"31.00","miningPlan":"3488.80","miningActual":"3829.50","preparationGather":"167.03","preparationPlan":"244.10","pioneerGather":"176.84","deptCode":"10047"},{"preparationActual":"275.90","deptName":"新疆能化","pioneerActual":"356.20","miningGather":"764.24","pioneerPlan":"295.30","miningPlan":"1172.87","miningActual":"813.20","preparationGather":"268.03","preparationPlan":"159.96","pioneerGather":"240.54","deptCode":"10046"},{"preparationActual":"0.00","deptName":"贵州矿业","pioneerActual":"0.00","miningGather":"54.00","pioneerPlan":"0.00","miningPlan":"150.00","miningActual":"46.80","preparationGather":"0.00","preparationPlan":"0.00","pioneerGather":"0.00","deptCode":"10052"},{"preparationActual":"0.00","deptName":"山能XN","pioneerActual":"0.00","miningGather":"0.00","pioneerPlan":"0.00","miningPlan":"0.00","miningActual":"0.00","preparationGather":"0.00","preparationPlan":"0.00","pioneerGather":"0.00","deptCode":"10055"}]}</t>
  </si>
  <si>
    <t>"msg":"查询成功"</t>
  </si>
  <si>
    <t>{"total":"70506","rows":[{"companyCode":"10040","workFaceId":"1990567085851971586","faceStatus":"已暂停","companyName":"兖矿能源","workFaceName":"143上21轨顺南段","mineName":"东滩煤矿","residueLength":"234.10746987096084","totalLength":"380.0","faceType":"ewf","finishLength":"145.89253012903916","cumulativeDrivingLengthCaiJi":"148.01","offSet":"-2.11746987096084","cumulativeDrivingLengthReport":"193.01","offSetReport":"-47.11746987096084","orgId":"1579040274339954689","mineCode":"370883003032","month":"2026-08","dataId":null,"dataTime":"2026-01-03","footageBaseTime":"2026-01-03 00:00:00","id":"2083252135524962305"},{"companyCode":"10040","workFaceId":"1640230361077207041","faceStatus":"停掘","companyName":"兖矿能源","workFaceName":"63上07运顺","mineName":"东滩煤矿","residueLength":"1323.872641461565","totalLength":"1325.0","faceType":"ewf","finishLength":"1.1273585384350049","cumulativeDrivingLengthCaiJi":"0","offSet":"1.1273585384350049","cumulativeDrivingLengthReport":"925.93","offSetReport":"-924.8026414615649951","orgId":"1579040274339954689","mineCode":"370883003032","month":"2026-08","dataId":null,"dataTime":"2026-07-03","footageBaseTime":"2026-07-03 00:00:00","id":"2083252104789102593"},{"companyCode":"10048","workFaceId":"1872577029888827394","faceStatus":"停掘","companyName":"新矿集团","workFaceName":"71101面4#联络巷","mineName":"赵官能源","residueLength":"5.301048292624415","totalLength":"126.079","faceType":"ewf","finishLength":"120.77795170737558","cumulativeDrivingLengthCaiJi":"0","offSet":"120.77795170737558","cumulativeDrivingLengthReport":"123.0","offSetReport":"-2.22204829262442","orgId":"1627959075844128769","mineCode":"371425027847","month":"2026-08","dataId":null,"dataTime":null,"footageBaseTime":null,"id":"2083254347894493185"},{"companyCode":"10044","workFaceId":"2002664213642403841","faceStatus":"施工中","companyName":"鲁西矿业","workFaceName":"六采区轨道巷","mineName":"郭屯煤矿","residueLength":"3315.5526132027585","totalLength":"3497.493","faceType":"ewf","finishLength":"181.9403867972415","cumulativeDrivingLengthCaiJi":"266.89","offSet":"-84.9496132027585","cumulativeDrivingLengthReport":"326.5","offSetReport":"-144.5596132027585","orgId":"1627605889253900290","mineCode":"371725003374","month":"2026-08","dataId":null,"dataTime":"2026-07-31","footageBaseTime":"2026-07-31 00:00:00","id":"2083251403509862401"},{"companyCode":"10044","workFaceId":"1806590248965857282","faceStatus":"停掘","companyName":"鲁西矿业","workFaceName":"2307胶带顺槽联络巷","mineName":"郭屯煤矿","residueLength":"-78.0965565487291","totalLength":"107.507","faceType":"ewf","finishLength":"185.6035565487291","cumulativeDrivingLengthCaiJi":"0","offSet":"185.6035565487291","cumulativeDrivingLengthReport":"112.0","offSetReport":"73.6035565487291","orgId":"1627605889253900290","mineCode":"371725003374","month":"2026-08","dataId":null,"dataTime":"2024-07-31","footageBaseTime":"2024-07-31 00:00:00","id":"2083251364913876993"},{"companyCode":"10048","workFaceId":"1643125901980942338","faceStatus":"停掘","companyName":"新矿集团","workFaceName":"4901S外运输巷","mineName":"长城一矿","residueLength":"-35.57161669865377","totalLength":"400.0","faceType":"ewf","finishLength":"435.57161669865377","cumulativeDrivingLengthCaiJi":"11.59","offSet":"423.98161669865377","cumulativeDrivingLengthReport":"135.0","offSetReport":"300.57161669865377","orgId":"1636177542531522561","mineCode":"150623028242","month":"2026-08","dataId":null,"dataTime":"2023-06-05","footageBaseTime":"2023-06-05 00:00:00","id":"2083251553473007618"},{"companyCode":"10047","workFaceId":"1881256254111432705","faceStatus":"停掘","companyName":"枣矿集团","workFaceName":"63上06切眼Ⅱ","mineName":"岱庄煤业","residueLength":"45.5","totalLength":"45.5","faceType":"ewf","finishLength":"0.0","cumulativeDrivingLengthCaiJi":"0","offSet":"0.0","cumulativeDrivingLengthReport":"45.5","offSetReport":"-45.5","orgId":"1659040979443892226","mineCode":"370826003911","month":"2026-08","dataId":null,"dataTime":null,"footageBaseTime":null,"id":"2083253453631131649"},{"companyCode":"10044","workFaceId":"1977554104151121922","faceStatus":"停掘","companyName":"鲁西矿业","workFaceName":"2103运输巷","mineName":"梁家煤矿","residueLength":"126.55969061470887","totalLength":"865.213","faceType":"ewf","finishLength":"738.6533093852911","cumulativeDrivingLengthCaiJi":"730.8","offSet":"7.8533093852911","cumulativeDrivingLengthReport":"862.0","offSetReport":"-123.3466906147089","orgId":"1638474813206032386","mineCode":"370681029639","month":"2026-08","dataId":null,"dataTime":"2025-12-31","footageBaseTime":"2025-12-31 00:00:00","id":"2083253098650406914"},{"companyCode":"10044","workFaceId":"1915555658594979842","faceStatus":"停掘","companyName":"鲁西矿业","workFaceName":"四采区辅助进风巷","mineName":"郭屯煤矿","residueLength":"3.73029721621765","totalLength":"621.343","faceType":"ewf","finishLength":"617.6127027837823","cumulativeDrivingLengthCaiJi":"0","offSet":"617.6127027837823","cumulativeDrivingLengthReport":"0","offSetReport":"0","orgId":"1627605889253900290","mineCode":"371725003374","month":"2026-08","dataId":null,"dataTime":null,"footageBaseTime":null,"id":"2083251407578337282"},{"companyCode":"10040","workFaceId":"1850695700968058881","faceStatus":"停掘","companyName":"兖矿能源","workFaceName":"3309运顺注浆通道","mineName":"东滩煤矿","residueLength":"114.08795141040709","totalLength":"145.586","faceType":"ewf","finishLength":"31.49804858959293","cumulativeDrivingLengthCaiJi":"111.47","offSet":"-79.97195141040707","cumulativeDrivingLengthReport":"161.90","offSetReport":"-130.40195141040707","orgId":"1579040274339954689","mineCode":"370883003032","month":"2026-08","dataId":null,"dataTime":"2024-10-31","footageBaseTime":"2024-10-31 00:00:00","id":"2083252103627280386"}],"code":200,"msg":"查询成功","msgRemark":null}</t>
  </si>
  <si>
    <t>{"total":"22842","rows":[{"id":60323,"orgId":"","orgName":"","mineId":"","mineName":"","districtTeam":"云鼎科技-北斗天地","reportingType":"workplaceTemporaryStop","message":"1111111111111","reachType":"workplace","workplaceId":"1964890828033040386","workplaceName":"33上12综放工作面,","reportDate":"2026-07-14 00:00:00","endReportDate":"2026-07-22 00:00:00","workplaceType":"coal","createTime":"2026-07-07 13:36:50","createId":"1663117227904794626","createName":"刘爽","updateTime":null,"updateId":null,"updateName":null,"errorType":",87,","isDelete":0,"startTime":null,"endTime":null,"errorTime":null,"reachTelephone":"16619928515","reachIds":",coal1964890828033040386,","reachSelectIds":",coal1964890828033040386,370883034238,10040,","fileId":18466,"twoFileId":null,"twoFileName":null,"uploadTwoFileTime":null,"uploadOneFileTime":"2026-07-07 13:36:45","fileName":"111111111111.pdf","timeNumber":null},{"id":60324,"orgId":"","orgName":"","mineId":"","mineName":"","districtTeam":"云鼎科技-北斗天地","reportingType":"qt","message":"测试","reachType":"workplace","workplaceId":"1964890828033040386,1986323864477868034,1986315983132540929,1986324501742993410,1933314855491313665,1905425297336668161,1985972830638678017,1985973706356363265,1636258850746146818,1675397254343630849,1988100311562801153,1673491793841844225,1771063051539558401,1550319208933893002,1768671453991550977,1752527172267528194,1843107696665628674,1843109425583595521,1692850090178347009,1959451356545376257,1516224463081768114,1992863548251111426,1666282269785026561,1889109828392648706,1806712272645685250,1861230674533572610,1806711666791055361,1638714326910103554,1638714228121661442,1678939266194370561,1559099736204616620,2017779832033255426,1957752208662806530,1941037616424235009,1511619387554848770,1675036938996883457,1511618959773589506,1663719626977116162,1701842893808402434,1747885352619147266,1665983857193742337,1752936031644188674,1989240645140754433,1937083687351603202,370982030704,1681229532546330626,1866393530646917121,1773879241386708994,1743457815180668929,1979383673138630657,1770335812945936385,1844901573250146306,1663740156851179521,1724987035467956225,1806937968972820482,1806938535061929986,1927549742914199554,1670965136350343170,1882959830416355329,1933064357500645377,371203030147,1640962453775966210,1967174262534156290,1863125965652754433,1640990388033544193,1866117896176234498,1659493777784451074,1948197604882604033,1889873515172782082,1948211182268227586,1807235614515560450,1597426013172947255,1699956732299083778,1986271460423589889,1806613949379731457,1879133663397625858,1754052882793160705,1981200042159165442,1699613544728281090,1666999056801558529,1671437751059308545,1667062668339113986,1667062604316786689,1960983672904142849,1927570622629273602,1887697611722649602,1691019019348918273,1691017998346272770,1691018982829113346,1883416932058374145,1679382721483796482,1636287887308845058,1983419537001517057,1983417667415580674,1679020681397301249,1938184109986295810,1980461496534794242,1906911958474113025,1973032861365035010,1931288782305984513,1854064583162630146,1806532158270636034,1784876446444654593,1829865995906035713,1903703673739190273,1901924626541576194,1661659534475722753,1547418190239772673,1906903544017235970,1691017736290353153,1947587572793696258,2017232231623483393,1752238512056459265,1968117374499803137,1638085474391257090,1846835174757810178,1774685527334359041,1675042904295415809,1685103866352308226,1696758360249020418,1663359689584484354,1638801068996554754,1910235295531720705,1638814727479095298,1890327612766281729,1720337716009775105,1717097952804630530,1974722818562789377,1987663520092852226,2046026390786191362,1988865538403315714,1734138511498964994,1867466839203487745,1867550432680353794,1699600000217563137,1640994781277577217,1986241690075881473,1988497919926071298,1815298747817721858,1831965564303282178,1719965953300115457,1894342002613637121,1694649941526413313,1980527529979166722,1847230769341890561,1847103980540641281,1981159421934673921,1769979995522007042,1867388496187117570,1846861232218664961,1668452487949033473,1867389243942535170,1867387501229625346,1846863083862114305,1689161175511195650,1846864436067155970,1671394999702618114,1964604622233010177,1931926907987853313,1976451195805626370,1969606094217678849,1849049083383439361,1847587997622730753,1847587758114832386,1981305872949436418,1806967457639460865,1680764674105274369,1806967923148484609,1848934608520577026,1681486721584328705,1980475300014342146,1785864529782120450,1981202038679846913,1681595390485458946,1681175991509184514,1635168018123304961,1938571009885306881,1681473224616046593,1806868762273234946,1847467908474306562,1907736367703224322,1661533579677630466,1976855296686284801,1714829336688222209,1856611998294036482,1847572232084905985,1809151478058348545,1848558573552140289,1661627501623967746,1802953492732739585,1913030054410670081","workplaceName":"11101综采工作面,3403综采工作面,31501综采工作面,1308综采工作面,1505综放工作面,51504综放工作面,11516综采工作面,11512综采工作面,273上01综采工作面,263上20综采工作面,3306-2膏体密实充填面（后退式/架后）,13203综放工作面,15107综放工作面,13206综放工作面,1206综采工作面,1902综放工作面,2301S工作面,6410综采工作面,273下02综采工作面,293下12综采工作面,1208工作面,63下03综采工作面,43下01综采工作面,7317工作面,11505综采工作面,11504综采工作面,C13下03充填工作面,3405综放工作面,31603下工作面,33103综采工作面,53101综采原矸充填工作面,53102原矸充填工作面,2201工作面,2202综放工作面,61702综采工作面,3336综放工作面,十采区北翼煤柱综采工作面,C301前进式综合机械化壁式密实充填采煤工作面,3315综放工作面,23303综采工作面,4312综采工作面,4310综采工作面,133上03充填工作面,63上07综采工作面,33上29密实充填工作面,43下06综采工作面,4102综采工作面,10311综放工作面,C1304膏体密实充填面（前进式）,11105综采工作面,716上00综采辅面,12-2上112综放工作面,61506综采工作面,122101综放工作面,2311单元密实充填工作面（掘进）,22307综放工作面,1305膏体密实综采充填工作面,13下21综采工作面,4-506-2综放工作面,61703综采工作面,61006综采工作面,61005综采工作面,71103综合机械化一单元密实充填开采工作面（掘进）,113下07综采工作面,73上16综采工作面,1315综放工作面,综合机械化二单元密实充填开采工作面（掘进）,51505综放工作面,1307工作面,31607综采工作面,12-2上111综放工作面,12-2上109综放工作面,11106综采工作面,1305综放工作面,122103综采工作面,13上01综采工作面,31602综采工作面,1315膏体密实综采充填工作面,1123225综放工作面,13上02综采工作面,5301综放工作面,1306综放工作面,24104综采工作面,351上08综采工作面,6306综放工作面,1906N工作面,2501综采工作面,33上10综放工作面,7304综放工作面,2303综采工作面,1210综放工作面,3309综放工作面,13上02综采工作面,3307综放工作面,113上02综采工作面,2307综放工作面,113上06综采工作面,11302综采工作面,23上36综采工作面,33上12综放工作面,5311综放工作面,123上03-2综放工作面,1300综采工作面,4301-6膏体密实综采充填工作面（架后）,210-503面,1511综采工作面,3601综采工作面,31120综采工作面,402综采工作面,1203综采工作面,2A303综采工作面,31602综采工作面,31608综采工作面,31601综采工作面,713下28综放工作面,723下06综放工作面,6315（外）综放工作面,6311综放工作面（外段）,6311工作面,6317综采工作面,7306综采工作面,7311综采工作面,1310-1综采工作面,11605综采工作面,26中06采煤工作面,3409原矸充填工作面,2409综放工作面,1416综采原矸充填工作面,18-303综采工作面,210-504综采工作面,2102工作面,2104综放工作面,1806综放工作面,11207综采工作面,13109综采工作面,13107综采工作面,11209综采工作面,73上12综采工作面,1500综采工作面.,93下11-2综采工作面,C33下04膏体密实综采充填工作面（架后）,133上04综采工作面,123上03综采工作面,43下07综放工作面,3802综采工作面,十采区煤柱综采工作面,9901综采工作面,2K311综采工作面,103下06工作面,123下02综采工作面,63上02综采工作面,123下06综采工作面,103下11综采工作面,31605综采工作面,1505S综采工作面,11107综采工作面,121109工作面,121108综采工作面,63上08综采工作面,33下05综采工作面,33下04工作面,63上02膏体综采充填工作面,73上08综采工作面,33上32膏体综采充填工作面,121107综采工作面,11103综采工作面,29202综放工作面,39201综放工作面,11105综采工作面,49203工作面,113下11工作面,3306综采工作面,1507综采工作面,3305综采工作面,63下04（南）-2充填工作面,B43下00综放工作面,163下06综放工作面,23下03综放工作面,13上11综采工作面,E3下01密实综采充填工作面,6301-1综采工作面,101701综采工作面,3340工作面,2902综采工作面,13上07综采工作面,23210综采工作面（北）,23上01综采工作面,23208综采工作面,7306综放工作面,","reportDate":"2026-07-10 16:34:40","endReportDate":"2026-07-11 00:00:00","workplaceType":"coal","createTime":"2026-07-09 16:35:19","createId":"1663117229007896577","createName":"王栋","updateTime":null,"updateId":null,"updateName":null,"errorType":",87,","isDelete":0,"startTime":null,"endTime":null,"errorTime":null,"reachTelephone":"17691208159","reachIds":",coal1913030054410670081,coal1802953492732739585,coal1661627501623967746,coal1848558573552140289,coal1809151478058348545,coal1847572232084905985,coal1856611998294036482,coal1714829336688222209,coal1976855296686284801,coal1661533579677630466,coal1907736367703224322,coal1847467908474306562,coal1806868762273234946,coal1681473224616046593,coal1938571009885306881,coal1635168018123304961,coal1681175991509184514,coal1681595390485458946,coal1981202038679846913,coal1785864529782120450,coal1980475300014342146,coal1681486721584328705,coal1848934608520577026,coal1806967923148484609,coal1680764674105274369,coal1806967457639460865,coal1981305872949436418,coal1847587758114832386,coal1847587997622730753,coal1849049083383439361,coal1969606094217678849,coal1976451195805626370,coal1931926907987853313,coal1964604622233010177,coal1671394999702618114,coal1846864436067155970,coal1689161175511195650,coal1846863083862114305,coal1867387501229625346,coal1867389243942535170,coal1668452487949033473,coal1846861232218664961,coal1867388496187117570,coal1769979995522007042,coal1981159421934673921,coal1847103980540641281,coal1847230769341890561,coal1980527529979166722,coal1694649941526413313,coal1894342002613637121,coal1719965953300115457,coal1831965564303282178,coal1815298747817721858,coal1988497919926071298,coal1986241690075881473,coal1640994781277577217,coal1699600000217563137,coal1867550432680353794,coal1867466839203487745,coal1734138511498964994,coal1988865538403315714,coal2046026390786191362,coal1987663520092852226,coal1974722818562789377,coal1717097952804630530,coal1720337716009775105,coal1890327612766281729,coal1638814727479095298,coal1910235295531720705,coal1638801068996554754,coal1663359689584484354,coal1696758360249020418,coal1685103866352308226,coal1675042904295415809,coal1774685527334359041,coal1846835174757810178,coal1638085474391257090,coal1968117374499803137,coal1752238512056459265,coal2017232231623483393,coal1947587572793696258,coal1691017736290353153,coal1906903544017235970,coal1547418190239772673,coal1661659534475722753,coal1901924626541576194,coal1903703673739190273,coal1829865995906035713,coal1784876446444654593,coal1806532158270636034,coal1854064583162630146,coal1931288782305984513,coal1973032861365035010,coal1906911958474113025,coal1980461496534794242,coal1938184109986295810,coal1679020681397301249,coal1983417667415580674,coal1983419537001517057,coal1636287887308845058,coal1679382721483796482,coal1883416932058374145,coal1691018982829113346,coal1691017998346272770,coal1691019019348918273,coal1887697611722649602,coal1927570622629273602,coal1960983672904142849,coal1667062604316786689,coal1667062668339113986,coal1671437751059308545,coal1666999056801558529,coal1699613544728281090,coal1981200042159165442,coal1754052882793160705,coal1879133663397625858,coal1806613949379731457,coal1986271460423589889,coal1699956732299083778,coal1597426013172947255,coal1807235614515560450,coal1948211182268227586,coal1889873515172782082,coal1948197604882604033,coal1659493777784451074,coal1866117896176234498,coal1640990388033544193,coal1863125965652754433,coal1967174262534156290,coal1640962453775966210,coal371203030147,coal1933064357500645377,coal1882959830416355329,coal1670965136350343170,coal1927549742914199554,coal1806938535061929986,coal1806937968972820482,coal1724987035467956225,coal1663740156851179521,coal1844901573250146306,coal1770335812945936385,coal1979383673138630657,coal1743457815180668929,coal1773879241386708994,coal1866393530646917121,coal1681229532546330626,coal370982030704,coal1937083687351603202,coal1989240645140754433,coal1752936031644188674,coal1665983857193742337,coal1747885352619147266,coal1701842893808402434,coal1663719626977116162,coal1511618959773589506,coal1675036938996883457,coal1511619387554848770,coal1941037616424235009,coal1957752208662806530,coal2017779832033255426,coal1559099736204616620,coal1678939266194370561,coal1638714228121661442,coal1638714326910103554,coal1806711666791055361,coal1861230674533572610,coal1806712272645685250,coal1889109828392648706,coal1666282269785026561,coal1992863548251111426,coal1516224463081768114,coal1959451356545376257,coal1692850090178347009,coal1843109425583595521,coal1843107696665628674,coal1752527172267528194,coal1768671453991550977,coal1550319208933893002,coal1771063051539558401,coal1673491793841844225,coal1988100311562801153,coal1675397254343630849,coal1636258850746146818,coal1985973706356363265,coal1985972830638678017,coal1905425297336668161,coal1933314855491313665,coal1986324501742993410,coal1986315983132540929,coal1986323864477868034,coal1964890828033040386,","reachSelectIds":",coal1913030054410670081,coal1802953492732739585,coal1661627501623967746,coal1848558573552140289,coal1809151478058348545,coal1847572232084905985,coal1856611998294036482,coal1714829336688222209,coal1976855296686284801,coal1661533579677630466,coal1907736367703224322,coal1847467908474306562,coal1806868762273234946,coal1681473224616046593,coal1938571009885306881,coal1635168018123304961,coal1681175991509184514,coal1681595390485458946,coal1981202038679846913,coal1785864529782120450,coal1980475300014342146,coal1681486721584328705,coal1848934608520577026,coal1806967923148484609,coal1680764674105274369,coal1806967457639460865,coal1981305872949436418,coal1847587758114832386,coal1847587997622730753,coal1849049083383439361,coal1969606094217678849,coal1976451195805626370,coal1931926907987853313,coal1964604622233010177,coal1671394999702618114,coal1846864436067155970,coal1689161175511195650,coal1846863083862114305,coal1867387501229625346,coal1867389243942535170,coal1668452487949033473,coal1846861232218664961,coal1867388496187117570,coal1769979995522007042,coal1981159421934673921,coal1847103980540641281,coal1847230769341890561,coal1980527529979166722,coal1694649941526413313,coal1894342002613637121,coal1719965953300115457,coal1831965564303282178,coal1815298747817721858,coal1988497919926071298,coal1986241690075881473,coal1640994781277577217,coal1699600000217563137,coal1867550432680353794,coal1867466839203487745,coal1734138511498964994,coal1988865538403315714,coal2046026390786191362,coal1987663520092852226,coal1974722818562789377,coal1717097952804630530,coal1720337716009775105,coal1890327612766281729,coal1638814727479095298,coal1910235295531720705,coal1638801068996554754,coal1663359689584484354,coal1696758360249020418,coal1685103866352308226,coal1675042904295415809,coal1774685527334359041,coal1846835174757810178,coal1638085474391257090,coal1968117374499803137,coal1752238512056459265,coal2017232231623483393,coal1947587572793696258,coal1691017736290353153,coal1906903544017235970,coal1547418190239772673,coal1661659534475722753,coal1901924626541576194,coal1903703673739190273,coal1829865995906035713,coal1784876446444654593,coal1806532158270636034,coal1854064583162630146,coal1931288782305984513,coal1973032861365035010,coal1906911958474113025,coal1980461496534794242,coal1938184109986295810,coal1679020681397301249,coal1983417667415580674,coal1983419537001517057,coal1636287887308845058,coal1679382721483796482,coal1883416932058374145,coal1691018982829113346,coal1691017998346272770,coal1691019019348918273,coal1887697611722649602,coal1927570622629273602,coal1960983672904142849,coal1667062604316786689,coal1667062668339113986,coal1671437751059308545,coal1666999056801558529,coal1699613544728281090,coal1981200042159165442,coal1754052882793160705,coal1879133663397625858,coal1806613949379731457,coal1986271460423589889,coal1699956732299083778,coal1597426013172947255,coal1807235614515560450,coal1948211182268227586,coal1889873515172782082,coal1948197604882604033,coal1659493777784451074,coal1866117896176234498,coal1640990388033544193,coal1863125965652754433,coal1967174262534156290,coal1640962453775966210,coal371203030147,coal1933064357500645377,coal1882959830416355329,coal1670965136350343170,coal1927549742914199554,coal1806938535061929986,coal1806937968972820482,coal1724987035467956225,coal1663740156851179521,coal1844901573250146306,coal1770335812945936385,coal1979383673138630657,coal1743457815180668929,coal1773879241386708994,coal1866393530646917121,coal1681229532546330626,coal370982030704,coal1937083687351603202,coal1989240645140754433,coal1752936031644188674,coal1665983857193742337,coal1747885352619147266,coal1701842893808402434,coal1663719626977116162,coal1511618959773589506,coal1675036938996883457,coal1511619387554848770,coal1941037616424235009,coal1957752208662806530,coal2017779832033255426,coal1559099736204616620,coal1678939266194370561,coal1638714228121661442,coal1638714326910103554,coal1806711666791055361,coal1861230674533572610,coal1806712272645685250,coal1889109828392648706,coal1666282269785026561,coal1992863548251111426,coal1516224463081768114,coal1959451356545376257,coal1692850090178347009,coal1843109425583595521,coal1843107696665628674,coal1752527172267528194,coal1768671453991550977,coal1550319208933893002,coal1771063051539558401,coal1673491793841844225,coal1988100311562801153,coal1675397254343630849,coal1636258850746146818,coal1985973706356363265,coal1985972830638678017,coal1905425297336668161,coal1933314855491313665,coal1986324501742993410,coal1986315983132540929,coal1986323864477868034,coal1964890828033040386,150623051540,654022016200,150623013131,620823009842,150623051561,370982030705,370481032218,150626013448,370901027799,370681029639,140723008747,370882004189,652301015661,370883037164,370826027782,371425027847,621000110639,610802017592,370921032545,371724034908,654023016136,370826003634,371725004145,150602008841,150623051401,370883003032,371725003374,371724006040,370826035904,370883034238,371725004138,371725002482,150623010799,370982030836,150627003943,652923015749,370401035284,370401026994,370811004383,370811032955,520521013465,10052,610428015776,610428016227,652801020222,10046,150626013454,620822009730,140931007071,370882032954,370801003889,370983030684,370829027902,150623028242,152526018849,370826006186,370811008574,10044,371425030206,140603004408,370826033459,610623008919,10053,370811027892,370481032042,370826003911,10047,370882033042,370882035910,150623013321,10048,150627003945,370883031447,10040,","fileId":18467,"twoFileId":null,"twoFileName":null,"uploadTwoFileTime":null,"uploadOneFileTime":"2026-07-09 16:35:17","fileName":"各类表情包.pdf","timeNumber":null},{"id":60322,"orgId":"","orgName":"","mineId":"","mineName":"","districtTeam":"云鼎科技-北斗天地","reportingType":"qt","message":"超时","reachType":"workplace","workplaceId":"1933314855491313665,1986323864477868034,1964890828033040386,1986324501742993410,1986315983132540929","workplaceName":"11505综采工作面,C13下03充填工作面,33上12综放工作面,33上10综放工作面,11504综采工作面,","reportDate":"2026-01-28 00:00:00","endReportDate":"2026-02-05 00:00:00","workplaceType":"coal","createTime":"2026-01-26 10:42:59","createId":"1663117229007896577","createName":"王栋","updateTime":null,"updateId":null,"updateName":null,"errorType":",87,","isDelete":0,"startTime":null,"endTime":null,"errorTime":null,"reachTelephone":"17691208159","reachIds":",coal1986315983132540929,coal1986324501742993410,coal1964890828033040386,coal1986323864477868034,coal1933314855491313665,","reachSelectIds":",coal1986315983132540929,coal1986324501742993410,coal1964890828033040386,coal1986323864477868034,coal1933314855491313665,370883034238,10040,","fileId":18441,"twoFileId":null,"twoFileName":null,"uploadTwoFileTime":null,"uploadOneFileTime":"2026-01-26 10:42:58","fileName":"王栋提交的出差审批202507011850000236496.pdf","timeNumber":null},{"id":60184,"orgId":"10047","orgName":"枣矿集团","mineId":"370826033459","mineName":"高庄煤业","districtTeam":"生产技术科","reportingType":"qt","message":"矿井反风演习停电报备","reachType":"workplace","workplaceId":"1849049083383439361","workplaceName":"113下11工作面,","reportDate":"2025-12-30 14:00:00","endReportDate":"2025-12-30 17:00:00","workplaceType":"coal","createTime":"2025-12-26 10:32:22","createId":"1676938374842724354","createName":"孟凡龙","updateTime":null,"updateId":null,"updateName":null,"errorType":",87,","isDelete":0,"startTime":null,"endTime":null,"errorTime":null,"reachTelephone":"18963206615","reachIds":",coal1849049083383439361,","reachSelectIds":",coal1849049083383439361,370826033459,10047,","fileId":18401,"twoFileId":null,"twoFileName":null,"uploadTwoFileTime":null,"uploadOneFileTime":"2025-12-26 10:32:02","fileName":"矿井反风演习停电报备.pdf","timeNumber":null},{"id":60093,"orgId":"10040","orgName":"兖矿能源","mineId":"150627003945","mineName":"转龙湾煤矿","districtTeam":"调度室","reportingType":"mineOutage","message":"矿井停产检修","reachType":"mine","workplaceId":"150627003945","workplaceName":"转龙湾煤矿,","reportDate":"2025-12-29 01:00:00","endReportDate":"2026-01-01 01:00:00","workplaceType":"","createTime":"2025-12-25 10:10:55","createId":"1676116159730028546","createName":"李楠","updateTime":null,"updateId":null,"updateName":null,"errorType":",87,71,","isDelete":0,"startTime":null,"endTime":null,"errorTime":null,"reachTelephone":"18653733496","reachIds":",head1834798771042856962,head1785870954435104770,head1913145233367220226,head1941104987640397826,head1886387960833327106,head1765905859443077121,head1893636281574592514,head1930930506055180289,head1858816121874182145,head1735101655086714882,head1963041292930445313,head1710863741199958018,head1886373620990926850,head1886379420782223362,head1933790417989767169,head1833444957378834433,head1851613330105061378,head1744601746077446146,head1857419980587565057,head2002543841242165250,head1825549039502200834,head1910170690507825154,head1903773076581367809,head1998241564707233793,head1715749712517218305,head1918520264187658242,head1989349654705967105,head1780841887956725761,head1819682879804076033,head1968861777375858689,head1938595516401819649,head1958418680728858625,head1791636585978347521,head1940716472557608961,head1715747710680776706,head1812740626866405378,head1949307327846961153,head1918238972977537026,head1835304601907384322,head1818889738620547073,head1903775929765052417,head1968858192718139394,head1830910648348495873,head1923059790302060545,head1876935478001971201,head1760607712827322369,head1786594563172560897,head1711563282819694594,head1659065492348977154,head1971879249019912194,head1791283406824648706,head1811278536369319938,head1898560417342136321,head1929510449709391873,head1845487275535474689,head1886370271931473922,head1796101450705899522,head1744347962625552385,head1922114610502356993,head1966802813196115970,head1772437586485915650,head1754744262070804481,head1933796458495729665,head1818913267894255618,head1760220160005971969,head1913182222757269506,head1968864157668544513,head1987138288268656641,head1979523314012012545,head1865663858842279937,head1865656631191920642,head1952685971779342338,coal1630397221718556673,coal1630397451239260161,coal1941037616424235009,coal1830901231072210946,coal1656909565399142402,coal1899635733317799937,coal1957752208662806530,150627003945,","reachSelectIds":",head1834798771042856962,head1785870954435104770,head1913145233367220226,head1941104987640397826,head1886387960833327106,head1765905859443077121,head1893636281574592514,head1930930506055180289,head1858816121874182145,head1735101655086714882,head1963041292930445313,head1710863741199958018,head1886373620990926850,head1886379420782223362,head1933790417989767169,head1833444957378834433,head1851613330105061378,head1744601746077446146,head1857419980587565057,head2002543841242165250,head1825549039502200834,head1910170690507825154,head1903773076581367809,head1998241564707233793,head1715749712517218305,head1918520264187658242,head1989349654705967105,head1780841887956725761,head1819682879804076033,head1968861777375858689,head1938595516401819649,head1958418680728858625,head1791636585978347521,head1940716472557608961,head1715747710680776706,head1812740626866405378,head1949307327846961153,head1918238972977537026,head1835304601907384322,head1818889738620547073,head1903775929765052417,head1968858192718139394,head1830910648348495873,head1923059790302060545,head1876935478001971201,head1760607712827322369,head1786594563172560897,head1711563282819694594,head1659065492348977154,head1971879249019912194,head1791283406824648706,head1811278536369319938,head1898560417342136321,head1929510449709391873,head1845487275535474689,head1886370271931473922,head1796101450705899522,head1744347962625552385,head1922114610502356993,head1966802813196115970,head1772437586485915650,head1754744262070804481,head1933796458495729665,head1818913267894255618,head1760220160005971969,head1913182222757269506,head1968864157668544513,head1987138288268656641,head1979523314012012545,head1865663858842279937,head1865656631191920642,head1952685971779342338,coal1630397221718556673,coal1630397451239260161,coal1941037616424235009,coal1830901231072210946,coal1656909565399142402,coal1899635733317799937,coal1957752208662806530,10040,150627003945,","fileId":18383,"twoFileId":null,"twoFileName":null,"uploadTwoFileTime":null,"uploadOneFileTime":"2025-12-25 10:09:40","fileName":"转龙湾煤矿12月29日至12月31日停产检修的专项说明.pdf","timeNumber":null},{"id":60232,"orgId":"10044","orgName":"鲁西矿业","mineId":"370983030684","mineName":"白庄煤矿","districtTeam":"调度指挥中心","reportingType":"qt","message":"矿井反风演习，期间矿井井下停电。","reachType":"workplace","workplaceId":"1974722818562789377,1987663520092852226","workplaceName":"3802综采工作面,十采区煤柱综采工作面,","reportDate":"2025-12-28 17:00:00","endReportDate":"2025-12-29 02:00:00","workplaceType":"coal","createTime":"2025-12-26 19:13:43","createId":"1676244858219532290","createName":"张维勇","updateTime":null,"updateId":null,"updateName":null,"errorType":",87,","isDelete":0,"startTime":null,"endTime":null,"errorTime":null,"reachTelephone":"18753878583","reachIds":",coal1987663520092852226,coal1974722818562789377,","reachSelectIds":",coal1987663520092852226,coal1974722818562789377,370983030684,10044,","fileId":18417,"twoFileId":null,"twoFileName":null,"uploadTwoFileTime":null,"uploadOneFileTime":"2025-12-26 19:13:19","fileName":"断线报备.pdf","timeNumber":null},{"id":60308,"orgId":"10048","orgName":"新矿集团","mineId":"370982030705","mineName":"翟镇煤矿","districtTeam":"采煤二区","reportingType":"workplaceNetworkOutage","message":"吊挂小线","reachType":"workplace","workplaceId":"1663740156851179521","workplaceName":"11101综采工作面,","reportDate":"2025-12-28 14:00:00","endReportDate":"2025-12-28 18:00:00","workplaceType":"coal","createTime":"2025-12-27 17:15:28","createId":"1676161144890331138","createName":"李恺峰","updateTime":null,"updateId":null,"updateName":null,"errorType":",87,","isDelete":0,"startTime":null,"endTime":null,"errorTime":null,"reachTelephone":"18253869557","reachIds":",coal1663740156851179521,","reachSelectIds":",coal1663740156851179521,370982030705,10048,","fileId":null,"twoFileId":null,"twoFileName":null,"uploadTwoFileTime":null,"uploadOneFileTime":null,"fileName":null,"timeNumber":null},{"id":60307,"orgId":"10048","orgName":"新矿集团","mineId":"370982030705","mineName":"翟镇煤矿","districtTeam":"采煤二区","reportingType":"workplaceNetworkOutage","message":"检修开关","reachType":"workplace","workplaceId":"1663740156851179521","workplaceName":"11101综采工作面,","reportDate":"2025-12-28 09:30:00","endReportDate":"2025-12-28 13:30:00","workplaceType":"coal","createTime":"2025-12-27 17:14:53","createId":"1676161144890331138","createName":"李恺峰","updateTime":null,"updateId":null,"updateName":null,"errorType":",87,","isDelete":0,"startTime":null,"endTime":null,"errorTime":null,"reachTelephone":"18253869557","reachIds":",coal1663740156851179521,","reachSelectIds":",coal1663740156851179521,370982030705,10048,","fileId":null,"twoFileId":null,"twoFileName":null,"uploadTwoFileTime":null,"uploadOneFileTime":null,"fileName":null,"timeNumber":null},{"id":60283,"orgId":"10048","orgName":"新矿集团","mineId":"370982030705","mineName":"翟镇煤矿","districtTeam":"采煤一区","reportingType":"workplaceNetworkOutage","message":"工作面停电检修","reachType":"workplace","workplaceId":"1770335812945936385","workplaceName":"31501综采工作面,","reportDate":"2025-12-28 07:00:00","endReportDate":"2025-12-28 11:00:00","workplaceType":"coal","createTime":"2025-12-27 14:44:05","createId":"1942835496127361026","createName":"王波","updateTime":null,"updateId":null,"updateName":null,"errorType":",87,","isDelete":0,"startTime":null,"endTime":null,"errorTime":null,"reachTelephone":"13792127912","reachIds":",coal1770335812945936385,","reachSelectIds":",coal1770335812945936385,370982030705,10048,","fileId":null,"twoFileId":null,"twoFileName":null,"uploadTwoFileTime":null,"uploadOneFileTime":null,"fileName":null,"timeNumber":null},{"id":60306,"orgId":"10048","orgName":"新矿集团","mineId":"370982030705","mineName":"翟镇煤矿","districtTeam":"采煤二区","reportingType":"workplaceNetworkOutage","message":"查看线缆","reachType":"workplace","workplaceId":"1663740156851179521","workplaceName":"11101综采工作面,","reportDate":"2025-12-28 05:00:00","endReportDate":"2025-12-28 09:00:00","workplaceType":"coal","createTime":"2025-12-27 17:14:16","createId":"1676161144890331138","createName":"李恺峰","updateTime":null,"updateId":null,"updateName":null,"errorType":",87,","isDelete":0,"startTime":null,"endTime":null,"errorTime":null,"reachTelephone":"18253869557","reachIds":",coal1663740156851179521,","reachSelectIds":",coal1663740156851179521,370982030705,10048,","fileId":null,"twoFileId":null,"twoFileName":null,"uploadTwoFileTime":null,"uploadOneFileTime":null,"fileName":null,"timeNumber":null}],"code":200,"msg":"查询成功","msgRemark":null}</t>
  </si>
  <si>
    <t>{"msg":"操作成功","code":200,"data":[{"id":"10040","name":"兖矿能源","num":null,"value":1,"totalValue":1},{"id":"10048","name":"新矿集团","num":null,"value":0,"totalValue":0},{"id":"10053","name":"西北矿业","num":null,"value":0,"totalValue":0},{"id":"10044","name":"鲁西矿业","num":null,"value":3,"totalValue":4},{"id":"10047","name":"枣矿集团","num":null,"value":0,"totalValue":0},{"id":"10046","name":"新疆能化","num":null,"value":0,"totalValue":0},{"id":"10052","name":"贵州矿业","num":null,"value":0,"totalValue":0}]}</t>
  </si>
  <si>
    <t>{"total":"0","rows":[],"code":200,"msg":"查询成功","msgRemark":null}</t>
  </si>
  <si>
    <t>{"msg":"操作成功","code":200,"data":{"listjj":[{"timeEnd":"2024-07-31","companyId":"10040","timeStart":"2024-07-01","mineId":"","adjustValueFilter":"63.69","numberjh":"7932.40","time":"兖矿能源","numbercaiji":"8311.61","numbertianbao":"8433.89"},{"timeEnd":"2024-07-31","companyId":"10048","timeStart":"2024-07-01","mineId":"","adjustValueFilter":"169.16","numberjh":"5574.79","time":"新矿集团","numbercaiji":"4868.13","numbertianbao":"4916.91"},{"timeEnd":"2024-07-31","companyId":"10053","timeStart":"2024-07-01","mineId":"","adjustValueFilter":"377.98","numberjh":"5458.82","time":"西北矿业","numbercaiji":"4986.02","numbertianbao":"5343.20"},{"timeEnd":"2024-07-31","companyId":"10044","timeStart":"2024-07-01","mineId":"","adjustValueFilter":"375.16","numberjh":"4859.00","time":"鲁西矿业","numbercaiji":"4634.10","numbertianbao":"4378.83"},{"timeEnd":"2024-07-31","companyId":"10047","timeStart":"2024-07-01","mineId":"","adjustValueFilter":"-1263.81","numberjh":"4538.20","time":"枣矿集团","numbercaiji":"3913.65","numbertianbao":"4020.40"},{"timeEnd":"2024-07-31","companyId":"10046","timeStart":"2024-07-01","mineId":"","adjustValueFilter":"11.20","numberjh":"1761.21","time":"新疆能化","numbercaiji":"1333.39","numbertianbao":"1376.78"},{"timeEnd":"2024-07-31","companyId":"10052","timeStart":"2024-07-01","mineId":"","adjustValueFilter":"10.53","numberjh":"611.30","time":"贵州矿业","numbercaiji":"641.73","numbertianbao":"675.20"}],"totalPlan":"30735.72","ljjj":"29145.21","totalGather":"28688.63"}}</t>
  </si>
  <si>
    <t>{"msg":"操作成功","code":200,"data":{"listjj":[{"timeEnd":"2024-07-31","companyId":"10040","timeStart":"2024-07-01","mineId":"","adjustValueFilter":"-53.77","time":"兖矿能源","numbercaiji":"2496.35","numbertianbao":"2515.03"},{"timeEnd":"2024-07-31","companyId":"10048","timeStart":"2024-07-01","mineId":"","adjustValueFilter":"96.60","time":"新矿集团","numbercaiji":"1751.01","numbertianbao":"1825.36"},{"timeEnd":"2024-07-31","companyId":"10053","timeStart":"2024-07-01","mineId":"","adjustValueFilter":"-37.31","time":"西北矿业","numbercaiji":"1349.89","numbertianbao":"1357.70"},{"timeEnd":"2024-07-31","companyId":"10044","timeStart":"2024-07-01","mineId":"","adjustValueFilter":"7.36","time":"鲁西矿业","numbercaiji":"1110.06","numbertianbao":"1141.41"},{"timeEnd":"2024-07-31","companyId":"10047","timeStart":"2024-07-01","mineId":"","adjustValueFilter":"0.57","time":"枣矿集团","numbercaiji":"1031.42","numbertianbao":"1108.60"},{"timeEnd":"2024-07-31","companyId":"10046","timeStart":"2024-07-01","mineId":"","adjustValueFilter":"1.26","time":"新疆能化","numbercaiji":"631.35","numbertianbao":"597.79"},{"timeEnd":"2024-07-31","companyId":"10052","timeStart":"2024-07-01","mineId":"","adjustValueFilter":"-0.07","time":"贵州矿业","numbercaiji":"86.63","numbertianbao":"83.30"}],"totalPlan":"5694.12","ljjj":"8629.19","totalGather":"8456.71"}}</t>
  </si>
  <si>
    <t>{"total":"3160","rows":[{"faceNo":"1986362270393458690","faceName":"-432东部回风联巷","deptId":"10040","deptName":"兖矿能源","deptSort":1,"orgId":"370883034238","orgName":"南屯煤矿","orgSort":1,"teamName":"掘进工区普掘队","faceStatus":"施工中","configTime":null,"workingMode":null,"planProductDate":"2025-01-01","actualProductDate":null,"planEndDate":"2025-01-31","actualEndDate":null,"rockBurst":"否","faceIntelligence":"否","faceTechnology":"炮掘","workFaceType":"head","coalFaceInformation":null,"headFaceInformation":{"num":null,"deptId":"10040","deptName":"兖矿能源","orgId":"370883034238","orgName":"南屯煤矿","faceNo":"1986362270393458690","faceName":"-432东部回风联巷","faceStatus":"施工中","configTime":null,"isBind":null,"planStartDate":"2025-01-01","startDate":null,"tunnelType":"准备","designLength":"50.00","planDoneDate":"2025-01-31","actualDoneDate":null,"coalRockType":"岩巷","drivingTechnology":"炮掘","supportType":"锚带网,锚索,","sectionArea":"16.80","hardRatio":"6.0","roadwayAngle":"平巷","tunnelSlope":"0.00","tunnelSectionShape":"矩形","teamName":"掘进工区普掘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通风巷道","personNum":8,"burialDepth":"473.00","pillarlessMining":"岩巷掘进","unitWeight":"2.35","tunnelWidth":"4.2","tunnelHeigth":"3.1","footageExcavatedLength":"0","footageBase":null,"startTimeFootageBase":null,"endTimeFootageBase":null,"transition":null,"transitionTimes":null,"onlineShouchiYanchiSj":null,"onlineShouchiYanchiJl":null,"technologyId":"748166833189775429","mergeFaceNo":"1986362270393458690","mergeFaceName":"-432东部回风联巷","isDelete":"0","createTime":"2026-04-08 15:30:53","updateTime":"2026-08-04 14:14:47","technologyJson":"[{\"startDate\":\"2026-08-04\",\"endDate\":\"\"}]"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1762421638000},"photoId":29},{"faceNo":"1986346987148156930","faceName":"11501切眼","deptId":"10040","deptName":"兖矿能源","deptSort":1,"orgId":"370883034238","orgName":"南屯煤矿","orgSort":1,"teamName":"综掘一区111队","faceStatus":"施工中","configTime":null,"workingMode":null,"planProductDate":"2026-10-01","actualProductDate":null,"planEndDate":"2026-11-15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1986346987148156930","faceName":"11501切眼","faceStatus":"施工中","configTime":null,"isBind":null,"planStartDate":"2026-10-01","startDate":null,"tunnelType":"回采","designLength":"280.00","planDoneDate":"2026-11-15","actualDoneDate":null,"coalRockType":"半煤岩","drivingTechnology":"综掘","supportType":"锚带网,锚索,","sectionArea":"8.64","hardRatio":"3.0","roadwayAngle":"沿煤掘进","tunnelSlope":"3.00","tunnelSectionShape":"矩形","teamName":"综掘一区111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工作面切割巷道","personNum":8,"burialDepth":"411.20","pillarlessMining":"实体掘进","unitWeight":"1.95","tunnelWidth":"3.6","tunnelHeigth":"3.0","footageExcavatedLength":"0","footageBase":null,"startTimeFootageBase":null,"endTimeFootageBase":null,"transition":null,"transitionTimes":null,"onlineShouchiYanchiSj":null,"onlineShouchiYanchiJl":null,"technologyId":"453086853445197445","mergeFaceNo":"1986346987148156930","mergeFaceName":"11501切眼","isDelete":"0","createTime":"2026-04-08 15:30:40","updateTime":"2026-08-04 14:15:32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1762417154000},"photoId":7},{"faceNo":"1986340430568710145","faceName":"11501辅运顺槽","deptId":"10040","deptName":"兖矿能源","deptSort":1,"orgId":"370883034238","orgName":"南屯煤矿","orgSort":1,"teamName":"综掘二区122队","faceStatus":"施工中","configTime":null,"workingMode":null,"planProductDate":"2026-03-21","actualProductDate":null,"planEndDate":"2026-07-20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1986340430568710145","faceName":"11501辅运顺槽","faceStatus":"施工中","configTime":null,"isBind":null,"planStartDate":"2026-03-21","startDate":null,"tunnelType":"回采","designLength":"720.00","planDoneDate":"2026-07-20","actualDoneDate":null,"coalRockType":"半煤岩","drivingTechnology":"综掘","supportType":"锚带网,锚索,","sectionArea":"16.80","hardRatio":"3.0","roadwayAngle":"沿煤掘进","tunnelSlope":"3.00","tunnelSectionShape":"矩形","teamName":"综掘二区122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工作面切割巷道","personNum":9,"burialDepth":"433.20","pillarlessMining":"否","unitWeight":"1.65","tunnelWidth":"4.8","tunnelHeigth":"3.5","footageExcavatedLength":"0","footageBase":null,"startTimeFootageBase":null,"endTimeFootageBase":null,"transition":null,"transitionTimes":null,"onlineShouchiYanchiSj":null,"onlineShouchiYanchiJl":null,"technologyId":"453086413236215365","mergeFaceNo":"1986340430568710145","mergeFaceName":"11501辅运顺槽","isDelete":"0","createTime":"2026-04-08 15:31:13","updateTime":"2026-08-04 14:14:32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1762415595000},"photoId":3},{"faceNo":"1979346502254567425","faceName":"11505切眼","deptId":"10040","deptName":"兖矿能源","deptSort":1,"orgId":"370883034238","orgName":"南屯煤矿","orgSort":1,"teamName":"综掘一区111队","faceStatus":"施工中","configTime":"2025-10-28","workingMode":null,"planProductDate":"2025-10-18","actualProductDate":"2025-10-18","planEndDate":"2026-01-31","actualEndDate":null,"rockBurst":"否","faceIntelligence":"否","faceTechnology":"综掘","workFaceType":"head","coalFaceInformation":null,"headFaceInformation":{"num":null,"deptId":"10040","deptName":"兖矿能源","orgId":"370883034238","orgName":"南屯煤矿","faceNo":"1979346502254567425","faceName":"11505切眼","faceStatus":"施工中","configTime":"2025-10-28","isBind":null,"planStartDate":"2025-10-18","startDate":"2025-10-18","tunnelType":"回采","designLength":"274.00","planDoneDate":"2026-01-31","actualDoneDate":null,"coalRockType":"半煤岩","drivingTechnology":"综掘","supportType":"锚带网,锚索梁,单液压支柱,","sectionArea":"8.64","hardRatio":"2.0","roadwayAngle":"沿煤掘进","tunnelSlope":"2.00","tunnelSectionShape":"矩形","teamName":"综掘一区111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工作面切割巷道","personNum":0,"burialDepth":"420.30","pillarlessMining":"否","unitWeight":"1.95","tunnelWidth":"3.6","tunnelHeigth":"2.4","footageExcavatedLength":"75.71","footageBase":null,"startTimeFootageBase":null,"endTimeFootageBase":"2025-10-31","transition":null,"transitionTimes":null,"onlineShouchiYanchiSj":null,"onlineShouchiYanchiJl":null,"technologyId":"709764877073339717","mergeFaceNo":"1979346502254567425","mergeFaceName":"11505切眼","isDelete":"0","createTime":"2025-10-18 08:44:20","updateTime":"2026-04-08 15:31:47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null},"photoId":12},{"faceNo":"1986279915873542146","faceName":"11505辅运顺槽（北）","deptId":"10040","deptName":"兖矿能源","deptSort":1,"orgId":"370883034238","orgName":"南屯煤矿","orgSort":1,"teamName":"综掘一区111队","faceStatus":"施工中","configTime":null,"workingMode":null,"planProductDate":"2026-02-01","actualProductDate":null,"planEndDate":"2026-03-31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1986279915873542146","faceName":"11505辅运顺槽（北）","faceStatus":"施工中","configTime":null,"isBind":null,"planStartDate":"2026-02-01","startDate":null,"tunnelType":"回采","designLength":"620.00","planDoneDate":"2026-03-31","actualDoneDate":null,"coalRockType":"半煤岩","drivingTechnology":"综掘","supportType":"锚带网,锚索,","sectionArea":"13.50","hardRatio":"5.0","roadwayAngle":"沿煤掘进","tunnelSlope":"3.00","tunnelSectionShape":"矩形","teamName":"综掘一区111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工作面切割巷道","personNum":0,"burialDepth":"454.80","pillarlessMining":"否","unitWeight":"1.95","tunnelWidth":"4.5","tunnelHeigth":"3","footageExcavatedLength":"0","footageBase":null,"startTimeFootageBase":null,"endTimeFootageBase":null,"transition":null,"transitionTimes":null,"onlineShouchiYanchiSj":null,"onlineShouchiYanchiJl":null,"technologyId":"748171280775211077","mergeFaceNo":"1986279915873542146","mergeFaceName":"11505辅运顺槽（北）","isDelete":"0","createTime":"2026-04-08 15:31:22","updateTime":"2026-08-04 14:15:47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1762401248000},"photoId":23},{"faceNo":"1986277954158288898","faceName":"11505辅运顺槽（南）","deptId":"10040","deptName":"兖矿能源","deptSort":1,"orgId":"370883034238","orgName":"南屯煤矿","orgSort":1,"teamName":"综掘二区122队","faceStatus":"施工中","configTime":null,"workingMode":null,"planProductDate":"2026-02-01","actualProductDate":null,"planEndDate":"2026-03-20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1986277954158288898","faceName":"11505辅运顺槽（南）","faceStatus":"施工中","configTime":null,"isBind":null,"planStartDate":"2026-02-01","startDate":null,"tunnelType":"回采","designLength":"230.00","planDoneDate":"2026-03-20","actualDoneDate":null,"coalRockType":"半煤岩","drivingTechnology":"综掘","supportType":"锚带网,锚索,","sectionArea":"13.50","hardRatio":"3.0","roadwayAngle":"沿煤掘进","tunnelSlope":"5.00","tunnelSectionShape":"矩形","teamName":"综掘二区122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工作面切割巷道","personNum":9,"burialDepth":"439.60","pillarlessMining":"否","unitWeight":"1.95","tunnelWidth":"4.5","tunnelHeigth":"3","footageExcavatedLength":"0","footageBase":null,"startTimeFootageBase":null,"endTimeFootageBase":null,"transition":null,"transitionTimes":null,"onlineShouchiYanchiSj":null,"onlineShouchiYanchiJl":null,"technologyId":"748171229306907141","mergeFaceNo":"1986277954158288898","mergeFaceName":"11505辅运顺槽（南）","isDelete":"0","createTime":"2026-04-08 15:31:44","updateTime":"2026-08-04 14:15:07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1762400745000},"photoId":13},{"faceNo":"1986322870129369089","faceName":"15上煤二采区加油检修硐室","deptId":"10040","deptName":"兖矿能源","deptSort":1,"orgId":"370883034238","orgName":"南屯煤矿","orgSort":1,"teamName":"综掘一区112队","faceStatus":"施工中","configTime":null,"workingMode":null,"planProductDate":"2026-09-01","actualProductDate":null,"planEndDate":"2026-09-30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1986322870129369089","faceName":"15上煤二采区加油检修硐室","faceStatus":"施工中","configTime":null,"isBind":null,"planStartDate":"2026-09-01","startDate":null,"tunnelType":"准备","designLength":"70.00","planDoneDate":"2026-09-30","actualDoneDate":null,"coalRockType":"岩巷","drivingTechnology":"综掘","supportType":"锚带网,锚索,","sectionArea":"14.85","hardRatio":"5.0","roadwayAngle":"平巷","tunnelSlope":"0.00","tunnelSectionShape":"矩形","teamName":"综掘一区112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硐室","personNum":10,"burialDepth":"481.00","pillarlessMining":"岩巷掘进","unitWeight":"2.25","tunnelWidth":"4.5","tunnelHeigth":"3.3","footageExcavatedLength":"0","footageBase":null,"startTimeFootageBase":null,"endTimeFootageBase":null,"transition":null,"transitionTimes":null,"onlineShouchiYanchiSj":null,"onlineShouchiYanchiJl":null,"technologyId":"748166116811041285","mergeFaceNo":"1986322870129369089","mergeFaceName":"15上煤二采区加油检修硐室","isDelete":"0","createTime":"2026-04-08 15:33:08","updateTime":"2026-08-04 14:14:12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1762417276000},"photoId":24},{"faceNo":"1986320433716895746","faceName":"15上煤二采区单轨吊充电硐室","deptId":"10040","deptName":"兖矿能源","deptSort":1,"orgId":"370883034238","orgName":"南屯煤矿","orgSort":1,"teamName":"综掘一区112队","faceStatus":"施工中","configTime":null,"workingMode":null,"planProductDate":"2026-08-01","actualProductDate":null,"planEndDate":"2026-08-31","actualEndDate":null,"rockBurst":"否","faceIntelligence":"否","faceTechnology":"综掘","workFaceType":"head","coalFaceInformation":null,"headFaceInformation":{"num":null,"deptId":"10040","deptName":"兖矿能源","orgId":"370883034238","orgName":"南屯煤矿","faceNo":"1986320433716895746","faceName":"15上煤二采区单轨吊充电硐室","faceStatus":"施工中","configTime":null,"isBind":null,"planStartDate":"2026-08-01","startDate":null,"tunnelType":"准备","designLength":"70.00","planDoneDate":"2026-08-31","actualDoneDate":null,"coalRockType":"岩巷","drivingTechnology":"综掘","supportType":"锚带网,锚索,","sectionArea":"14.85","hardRatio":"5.0","roadwayAngle":"平巷","tunnelSlope":"0.00","tunnelSectionShape":"矩形","teamName":"综掘一区112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硐室","personNum":10,"burialDepth":"479.00","pillarlessMining":"岩巷掘进","unitWeight":"2.25","tunnelWidth":"4.5","tunnelHeigth":"3.3","footageExcavatedLength":"0","footageBase":null,"startTimeFootageBase":null,"endTimeFootageBase":null,"transition":null,"transitionTimes":null,"onlineShouchiYanchiSj":null,"onlineShouchiYanchiJl":null,"technologyId":"748166066169013829","mergeFaceNo":"1986320433716895746","mergeFaceName":"15上煤二采区单轨吊充电硐室","isDelete":"0","createTime":"2025-12-18 10:08:02","updateTime":"2026-04-08 15:32:52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null},"photoId":26},{"faceNo":"1986332956203032578","faceName":"15上煤二采区水仓","deptId":"10040","deptName":"兖矿能源","deptSort":1,"orgId":"370883034238","orgName":"南屯煤矿","orgSort":1,"teamName":"掘进工区普掘队","faceStatus":"施工中","configTime":null,"workingMode":null,"planProductDate":"2026-07-01","actualProductDate":null,"planEndDate":"2026-12-31","actualEndDate":null,"rockBurst":"否","faceIntelligence":"否","faceTechnology":"炮掘","workFaceType":"head","coalFaceInformation":null,"headFaceInformation":{"num":null,"deptId":"10040","deptName":"兖矿能源","orgId":"370883034238","orgName":"南屯煤矿","faceNo":"1986332956203032578","faceName":"15上煤二采区水仓","faceStatus":"施工中","configTime":null,"isBind":null,"planStartDate":"2026-07-01","startDate":null,"tunnelType":"准备","designLength":"270.00","planDoneDate":"2026-12-31","actualDoneDate":null,"coalRockType":"岩巷","drivingTechnology":"炮掘","supportType":"锚带网,锚索,","sectionArea":"14.85","hardRatio":"6.0","roadwayAngle":"平巷","tunnelSlope":"0.00","tunnelSectionShape":"矩形","teamName":"掘进工区普掘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其他巷道","personNum":9,"burialDepth":"552.00","pillarlessMining":"岩巷掘进","unitWeight":"2.35","tunnelWidth":"3.3","tunnelHeigth":"4.5","footageExcavatedLength":"0","footageBase":null,"startTimeFootageBase":null,"endTimeFootageBase":null,"transition":null,"transitionTimes":null,"onlineShouchiYanchiSj":null,"onlineShouchiYanchiJl":null,"technologyId":"748166983438133317","mergeFaceNo":"1986332956203032578","mergeFaceName":"15上煤二采区水仓","isDelete":"0","createTime":"2026-04-08 15:30:46","updateTime":"2026-08-04 14:15:12","technologyJson":"[{\"startDate\":\"2026-08-04\",\"endDate\":\"\"}]"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1762417295000},"photoId":27},{"faceNo":"1990260433299521537","faceName":"15上煤二采区辅运上山","deptId":"10040","deptName":"兖矿能源","deptSort":1,"orgId":"370883034238","orgName":"南屯煤矿","orgSort":1,"teamName":"综掘一区112队","faceStatus":"施工中","configTime":null,"workingMode":null,"planProductDate":"2026-02-01","actualProductDate":null,"planEndDate":"2026-06-30","actualEndDate":null,"rockBurst":"否","faceIntelligence":"否","faceTechnology":"综掘","workFaceType":"head","coalFaceInformation":null,"headFaceInformation":{"num":null,"deptId":"10040","deptName":"兖矿能源","orgId":"370883034238","orgName":"南屯煤矿","faceNo":"1990260433299521537","faceName":"15上煤二采区辅运上山","faceStatus":"施工中","configTime":null,"isBind":null,"planStartDate":"2026-02-01","startDate":null,"tunnelType":"准备","designLength":"1540.00","planDoneDate":"2026-06-30","actualDoneDate":null,"coalRockType":"半煤岩","drivingTechnology":"综掘","supportType":"锚带网,锚索,","sectionArea":"15.00","hardRatio":"2.0","roadwayAngle":"沿煤掘进","tunnelSlope":"0.00","tunnelSectionShape":"矩形","teamName":"综掘一区112队","faceIntelligence":"否","rockBurst":"否","workingMode":null,"baseSation":null,"twoBaseStationCodes":null,"baseSationCoordinateX":null,"baseSationCoordinateY":null,"target":null,"targetCoordinateX":null,"targetCoordinateY":null,"positionLabel":null,"datumPointX":null,"datumPointY":null,"compensation":0,"compensation1":null,"coordinateSystem":null,"coordinateSystemName":null,"startX":null,"startY":null,"startZ":null,"endX":null,"endY":null,"endZ":null,"remark":null,"tunnelNo":null,"faceType":"ewf","tunnelPurpose":"运输巷道","personNum":10,"burialDepth":"567.50","pillarlessMining":"否","unitWeight":"1.65","tunnelWidth":"0","tunnelHeigth":"0","footageExcavatedLength":"0","footageBase":null,"startTimeFootageBase":null,"endTimeFootageBase":null,"transition":null,"transitionTimes":null,"onlineShouchiYanchiSj":null,"onlineShouchiYanchiJl":null,"technologyId":"643798889035534661","mergeFaceNo":"1990260433299521537","mergeFaceName":"15上煤二采区辅运上山","isDelete":"0","createTime":"2026-06-10 15:46:13","updateTime":"2026-08-04 14:16:07","technologyJson":null,"totalFootage":null,"todayFootagePlan":null,"todayFootageActual":null,"lastReportDate":null,"finishLength":null,"allActualJs":null,"allActualTb":null,"allActualCz":null,"onLineStatus":null,"preStationDistance":null,"footageExcavatedLengthJs":null,"photoId":null,"ydFaceUpdateTime":1763350286000},"photoId":28}],"code":200,"msg":"查询成功","msgRemark":null}</t>
  </si>
  <si>
    <t>{"total":"1767","rows":[{"num":null,"fillInId":455659,"gatherId":null,"companyCode":"10040","companyName":"兖矿能源","mineCode":"370883034238","mineName":"南屯煤矿","faceNo":"1986362270393458690","faceName":"-432东部回风联巷","linkId":"748166833189775429","technology":"炮掘","faceStatus":"施工中","reportDate":"2026-08-10","classDrivPlan":"1.70","classDriv":"0.00","dayIncre":null,"dayActualJs":null,"monthFootage":null,"yearFootage":null,"totalFootage":"2.00","remainingLength":"48.00","undoReason":null,"coalPersonNumbers":0,"createName":"张微静","message":null,"dayProcess":null,"adjustValueFilter":null,"footageDeviation":null,"warningCount":null,"remark":"","type":null},{"num":null,"fillInId":455658,"gatherId":"194544","companyCode":"10040","companyName":"兖矿能源","mineCode":"370883034238","mineName":"南屯煤矿","faceNo":"1986244090316611586","faceName":"33上10运顺（东）","linkId":"742817334456051525","technology":"综掘","faceStatus":"施工中","reportDate":"2026-08-10","classDrivPlan":"6.50","classDriv":"2.80","dayIncre":null,"dayActualJs":null,"monthFootage":null,"yearFootage":null,"totalFootage":"662.10","remainingLength":"131.90","undoReason":null,"coalPersonNumbers":33,"createName":"张微静","message":null,"dayProcess":"2.77","adjustValueFilter":"0.00","footageDeviation":"0.03","warningCount":null,"remark":"工作面离线时长2时40分0秒","type":null},{"num":null,"fillInId":455657,"gatherId":"194578","companyCode":"10040","companyName":"兖矿能源","mineCode":"370883034238","mineName":"南屯煤矿","faceNo":"1986254009564618754","faceName":"93上26运顺（北）","linkId":"748166425348237893","technology":"综掘","faceStatus":"施工中","reportDate":"2026-08-10","classDrivPlan":"3.20","classDriv":"3.50","dayIncre":null,"dayActualJs":null,"monthFootage":null,"yearFootage":null,"totalFootage":"342.45","remainingLength":"75.05","undoReason":null,"coalPersonNumbers":27,"createName":"张微静","message":null,"dayProcess":"3.51","adjustValueFilter":"0.00","footageDeviation":"-0.01","warningCount":null,"remark":"","type":null},{"num":null,"fillInId":455632,"gatherId":null,"companyCode":"10040","companyName":"兖矿能源","mineCode":"370882033042","mineName":"兴隆庄煤矿","faceNo":"1964233192644091905","faceName":"中翼新增回风巷","linkId":"698534454297185477","technology":"综掘","faceStatus":"施工中","reportDate":"2026-08-10","classDrivPlan":"0.00","classDriv":"3.00","dayIncre":null,"dayActualJs":null,"monthFootage":null,"yearFootage":null,"totalFootage":"627.00","remainingLength":"83.00","undoReason":null,"coalPersonNumbers":36,"createName":"尹帅","message":null,"dayProcess":null,"adjustValueFilter":null,"footageDeviation":null,"warningCount":null,"remark":"","type":null},{"num":null,"fillInId":455535,"gatherId":null,"companyCode":"10040","companyName":"兖矿能源","mineCode":"370882033042","mineName":"兴隆庄煤矿","faceNo":"1896383114421452802","faceName":"中翼辅助运输巷","linkId":"621981394452671429","technology":"综掘","faceStatus":"已暂停","reportDate":"2026-08-10","classDrivPlan":"7.00","classDriv":"0.00","dayIncre":null,"dayActualJs":null,"monthFootage":null,"yearFootage":null,"totalFootage":"279.00","remainingLength":"581.00","undoReason":null,"coalPersonNumbers":0,"createName":"尹帅","message":null,"dayProcess":null,"adjustValueFilter":null,"footageDeviation":null,"warningCount":null,"remark":"","type":null},{"num":null,"fillInId":455533,"gatherId":"194526","companyCode":"10040","companyName":"兖矿能源","mineCode":"370883031447","mineName":"鲍店煤矿","faceNo":"2075795318951841793","faceName":"6307辅顺","linkId":"548559847524692101","technology":"综掘","faceStatus":"施工中","reportDate":"2026-08-10","classDrivPlan":"8.40","classDriv":"10.00","dayIncre":null,"dayActualJs":null,"monthFootage":null,"yearFootage":null,"totalFootage":"262.90","remainingLength":"834.10","undoReason":null,"coalPersonNumbers":31,"createName":"周梅","message":null,"dayProcess":"10.41","adjustValueFilter":"0.00","footageDeviation":"-0.41","warningCount":null,"remark":"","type":null},{"num":null,"fillInId":455531,"gatherId":"194546","companyCode":"10040","companyName":"兖矿能源","mineCode":"370883031447","mineName":"鲍店煤矿","faceNo":"1988174706735521793","faceName":"7308辅顺里段","linkId":"548548132397412357","technology":"综掘","faceStatus":"施工中","reportDate":"2026-08-10","classDrivPlan":"5.80","classDriv":"7.70","dayIncre":null,"dayActualJs":null,"monthFootage":null,"yearFootage":null,"totalFootage":"767.00","remainingLength":"733.00","undoReason":null,"coalPersonNumbers":31,"createName":"周梅","message":null,"dayProcess":"9.02","adjustValueFilter":"0.00","footageDeviation":"-1.32","warningCount":null,"remark":"","type":null},{"num":null,"fillInId":455534,"gatherId":"194481","companyCode":"10040","companyName":"兖矿能源","mineCode":"370883031447","mineName":"鲍店煤矿","faceNo":"2033875822721028098","faceName":"九采胶带巷","linkId":"797754389153559429","technology":"综掘","faceStatus":"施工中","reportDate":"2026-08-10","classDrivPlan":"0.70","classDriv":"0.00","dayIncre":null,"dayActualJs":null,"monthFootage":null,"yearFootage":null,"totalFootage":"324.70","remainingLength":"884.30","undoReason":null,"coalPersonNumbers":0,"createName":"周梅","message":null,"dayProcess":"0.00","adjustValueFilter":"0.00","footageDeviation":"0.00","warningCount":null,"remark":"","type":null},{"num":null,"fillInId":455532,"gatherId":"194495","companyCode":"10040","companyName":"兖矿能源","mineCode":"370883031447","mineName":"鲍店煤矿","faceNo":"2070405924510175234","faceName":"九采辅运巷","linkId":"469125959803480069","technology":"综掘","faceStatus":"施工中","reportDate":"2026-08-10","classDrivPlan":"5.30","classDriv":"6.60","dayIncre":null,"dayActualJs":null,"monthFootage":null,"yearFootage":null,"totalFootage":"267.30","remainingLength":"942.70","undoReason":null,"coalPersonNumbers":33,"createName":"周梅","message":null,"dayProcess":"7.11","adjustValueFilter":"0.00","footageDeviation":"-0.51","warningCount":null,"remark":"","type":null},{"num":null,"fillInId":455582,"gatherId":"194506","companyCode":"10040","companyName":"兖矿能源","mineCode":"370883003032","mineName":"东滩煤矿","faceNo":"1921767292099354625","faceName":"143上21运顺","linkId":"686219590778307781","technology":"综掘","faceStatus":"施工中","reportDate":"2026-08-10","classDrivPlan":"3.70","classDriv":"2.81","dayIncre":null,"dayActualJs":null,"monthFootage":null,"yearFootage":null,"totalFootage":"580.17","remainingLength":"799.83","undoReason":null,"coalPersonNumbers":31,"createName":"高云","message":null,"dayProcess":"2.81","adjustValueFilter":"0.00","footageDeviation":"0.00","warningCount":null,"remark":"工作面离线时长5分0秒","type":null}],"code":200,"msg":"查询成功","msgRemark":null}</t>
  </si>
  <si>
    <t>BODY_MATCHES</t>
  </si>
  <si>
    <t>MATCHES</t>
  </si>
  <si>
    <t>{"total":"6353","rows":[{"num":null,"fillInId":455811,"gatherId":null,"companyCode":"10040","companyName":"兖矿能源","mineCode":"370883034238","mineName":"南屯煤矿","faceNo":"1986362270393458690","faceName":"-432东部回风联巷","linkId":"748166833189775429","technology":"炮掘","faceStatus":"施工中","reportDate":"2026-08-11","classDrivPlan":"1.70","classDriv":"0.00","dayIncre":null,"dayActualJs":null,"monthFootage":null,"yearFootage":null,"totalFootage":"2.00","remainingLength":"48.00","undoReason":null,"coalPersonNumbers":0,"createName":"张微静","message":null,"dayProcess":null,"adjustValueFilter":null,"footageDeviation":null,"warningCount":null,"remark":"","type":null},{"num":null,"fillInId":455810,"gatherId":"194653","companyCode":"10040","companyName":"兖矿能源","mineCode":"370883034238","mineName":"南屯煤矿","faceNo":"1986244090316611586","faceName":"33上10运顺（东）","linkId":"742817334456051525","technology":"综掘","faceStatus":"施工中","reportDate":"2026-08-11","classDrivPlan":"0.00","classDriv":"1.60","dayIncre":null,"dayActualJs":null,"monthFootage":null,"yearFootage":null,"totalFootage":"663.70","remainingLength":"130.30","undoReason":null,"coalPersonNumbers":33,"createName":"张微静","message":null,"dayProcess":"1.64","adjustValueFilter":"0.00","footageDeviation":"-0.04","warningCount":null,"remark":"","type":null},{"num":null,"fillInId":455809,"gatherId":"194685","companyCode":"10040","companyName":"兖矿能源","mineCode":"370883034238","mineName":"南屯煤矿","faceNo":"1986254009564618754","faceName":"93上26运顺（北）","linkId":"748166425348237893","technology":"综掘","faceStatus":"施工中","reportDate":"2026-08-11","classDrivPlan":"3.20","classDriv":"4.10","dayIncre":null,"dayActualJs":null,"monthFootage":null,"yearFootage":null,"totalFootage":"346.55","remainingLength":"70.95","undoReason":null,"coalPersonNumbers":21,"createName":"张微静","message":null,"dayProcess":"4.11","adjustValueFilter":"0.00","footageDeviation":"-0.01","warningCount":null,"remark":"","type":null},{"num":null,"fillInId":455719,"gatherId":null,"companyCode":"10040","companyName":"兖矿能源","mineCode":"370882033042","mineName":"兴隆庄煤矿","faceNo":"1964233192644091905","faceName":"中翼新增回风巷","linkId":"698534454297185477","technology":"综掘","faceStatus":"施工中","reportDate":"2026-08-11","classDrivPlan":"0.00","classDriv":"5.00","dayIncre":null,"dayActualJs":null,"monthFootage":null,"yearFootage":null,"totalFootage":"632.00","remainingLength":"78.00","undoReason":"08月11日08时到08月13日08时矿井停产检修。","coalPersonNumbers":37,"createName":"尹帅","message":null,"dayProcess":null,"adjustValueFilter":null,"footageDeviation":null,"warningCount":null,"remark":"","type":null},{"num":null,"fillInId":455720,"gatherId":null,"companyCode":"10040","companyName":"兖矿能源","mineCode":"370882033042","mineName":"兴隆庄煤矿","faceNo":"1896383114421452802","faceName":"中翼辅助运输巷","linkId":"621981394452671429","technology":"综掘","faceStatus":"已暂停","reportDate":"2026-08-11","classDrivPlan":"7.00","classDriv":"0.00","dayIncre":null,"dayActualJs":null,"monthFootage":null,"yearFootage":null,"totalFootage":"279.00","remainingLength":"581.00","undoReason":"08月11日08时到08月13日08时矿井停产检修。","coalPersonNumbers":0,"createName":"尹帅","message":null,"dayProcess":null,"adjustValueFilter":null,"footageDeviation":null,"warningCount":null,"remark":"","type":null},{"num":null,"fillInId":455675,"gatherId":"194633","companyCode":"10040","companyName":"兖矿能源","mineCode":"370883031447","mineName":"鲍店煤矿","faceNo":"2075795318951841793","faceName":"6307辅顺","linkId":"548559847524692101","technology":"综掘","faceStatus":"施工中","reportDate":"2026-08-11","classDrivPlan":"8.40","classDriv":"8.70","dayIncre":null,"dayActualJs":null,"monthFootage":null,"yearFootage":null,"totalFootage":"271.60","remainingLength":"825.40","undoReason":null,"coalPersonNumbers":33,"createName":"周梅","message":null,"dayProcess":"8.65","adjustValueFilter":"0.00","footageDeviation":"0.05","warningCount":null,"remark":"","type":null},{"num":null,"fillInId":455677,"gatherId":"194652","companyCode":"10040","companyName":"兖矿能源","mineCode":"370883031447","mineName":"鲍店煤矿","faceNo":"1988174706735521793","faceName":"7308辅顺里段","linkId":"548548132397412357","technology":"综掘","faceStatus":"施工中","reportDate":"2026-08-11","classDrivPlan":"5.80","classDriv":"8.00","dayIncre":null,"dayActualJs":null,"monthFootage":null,"yearFootage":null,"totalFootage":"775.00","remainingLength":"725.00","undoReason":null,"coalPersonNumbers":32,"createName":"周梅","message":null,"dayProcess":"8.03","adjustValueFilter":"0.00","footageDeviation":"-0.03","warningCount":null,"remark":"工作面离线时长3天16时10分0秒","type":null},{"num":null,"fillInId":455674,"gatherId":"194591","companyCode":"10040","companyName":"兖矿能源","mineCode":"370883031447","mineName":"鲍店煤矿","faceNo":"2033875822721028098","faceName":"九采胶带巷","linkId":"797754389153559429","technology":"综掘","faceStatus":"施工中","reportDate":"2026-08-11","classDrivPlan":"0.70","classDriv":"0.00","dayIncre":null,"dayActualJs":null,"monthFootage":null,"yearFootage":null,"totalFootage":"324.70","remainingLength":"884.30","undoReason":null,"coalPersonNumbers":0,"createName":"周梅","message":null,"dayProcess":"0.00","adjustValueFilter":"0.00","footageDeviation":"0.00","warningCount":null,"remark":"","type":null},{"num":null,"fillInId":455676,"gatherId":"194606","companyCode":"10040","companyName":"兖矿能源","mineCode":"370883031447","mineName":"鲍店煤矿","faceNo":"2070405924510175234","faceName":"九采辅运巷","linkId":"469125959803480069","technology":"综掘","faceStatus":"施工中","reportDate":"2026-08-11","classDrivPlan":"5.30","classDriv":"8.50","dayIncre":null,"dayActualJs":null,"monthFootage":null,"yearFootage":null,"totalFootage":"275.80","remainingLength":"934.20","undoReason":null,"coalPersonNumbers":30,"createName":"周梅","message":null,"dayProcess":"8.17","adjustValueFilter":"0.00","footageDeviation":"0.33","warningCount":null,"remark":"","type":null},{"num":null,"fillInId":455831,"gatherId":"194614","companyCode":"10040","companyName":"兖矿能源","mineCode":"370883003032","mineName":"东滩煤矿","faceNo":"1921767292099354625","faceName":"143上21运顺","linkId":"686219590778307781","technology":"综掘","faceStatus":"施工中","reportDate":"2026-08-11","classDrivPlan":"3.70","classDriv":"3.85","dayIncre":null,"dayActualJs":null,"monthFootage":null,"yearFootage":null,"totalFootage":"584.02","remainingLength":"795.98","undoReason":null,"coalPersonNumbers":30,"createName":"高云","message":null,"dayProcess":"3.85","adjustValueFilter":"0.00","footageDeviation":"0.00","warningCount":null,"remark":"","type":null}],"code":200,"msg":"查询成功","msgRemark":null}</t>
  </si>
  <si>
    <t>{"status":"10000","msg":null,"data":{"records":[{"id":79113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14:45:00","warningAlarmInfoHandelTime":null,"warningAlarmInfoUpdateTime":"2026-08-18 14:45:00","warningAlarmInfoParam":"南翼胶带输送机大巷（延伸），数据采集断线超过预设时间 (30 分钟)，最新数据时间：2026-08-18 14:11:04","alertType":"系统报警","baname":"工作面离线","b2name":"报警","bainame":"南翼胶带输送机大巷（延伸）报警","count":null,"bdataAlertPushMids":null,"oid":null,"indicatorSystemRelatives":null,"updateTime":null,"algConfigId":null,"cameraId":null,"type":null,"mineCode":"370801003889","mineName":"济二煤矿","miningFaceId":"1986646837734768641","miningFaceName":"南翼胶带输送机大巷（延伸）","createTime":null,"miningFaceType":"head","orgCode":"10040","orgName":"兖矿能源","isConfig":null,"warningAlarmInfoId":543549,"warningAlarmInfoHandle":0,"reportStatus":"未报备","reportId":null,"disposeStatus":"待处置","responseStatus":"未响应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68135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13:00:00","warningAlarmInfoHandelTime":null,"warningAlarmInfoUpdateTime":"2026-08-18 13:00:00","warningAlarmInfoParam":"3301运顺，数据采集断线超过预设时间 (30 分钟)，最新数据时间：2026-08-18 12:25:32","alertType":"系统报警","baname":"工作面离线","b2name":"报警","bainame":"3301运顺报警","count":null,"bdataAlertPushMids":null,"oid":null,"indicatorSystemRelatives":null,"updateTime":null,"algConfigId":null,"cameraId":null,"type":null,"mineCode":"370883003032","mineName":"东滩煤矿","miningFaceId":"1934870099220176897","miningFaceName":"3301运顺","createTime":null,"miningFaceType":"head","orgCode":"10040","orgName":"兖矿能源","isConfig":null,"warningAlarmInfoId":543547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109232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10:15:00","warningAlarmInfoParam":"11208运输顺槽反掘，数据采集断线超过预设时间 (30 分钟)，最新数据时间：2026-08-18 09:41:32","alertType":"系统报警","baname":"工作面离线","b2name":"报警","bainame":"11208运输顺槽反掘报警","count":null,"bdataAlertPushMids":null,"oid":null,"indicatorSystemRelatives":null,"updateTime":null,"algConfigId":null,"cameraId":null,"type":null,"mineCode":"140931007071","mineName":"望田煤业","miningFaceId":"2071126179332718594","miningFaceName":"11208运输顺槽反掘","createTime":null,"miningFaceType":"head","orgCode":"10053","orgName":"西北矿业","isConfig":null,"warningAlarmInfoId":543541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81458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10:15:00","warningAlarmInfoParam":"11209综采工作面，数据采集断线超过预设时间 (30 分钟)，最新数据时间：2026-08-18 09:41:32","alertType":"系统报警","baname":"工作面离线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543540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100840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09:15:00","warningAlarmInfoHandelTime":null,"warningAlarmInfoUpdateTime":"2026-08-18 09:15:00","warningAlarmInfoParam":"6410综采工作面，数据采集断线超过预设时间 (30 分钟)，最新数据时间：2026-08-18 08:44:40","alertType":"系统报警","baname":"工作面离线","b2name":"报警","bainame":"6410综采工作面报警","count":null,"bdataAlertPushMids":null,"oid":null,"indicatorSystemRelatives":null,"updateTime":null,"algConfigId":null,"cameraId":null,"type":null,"mineCode":"370982030705","mineName":"翟镇煤矿","miningFaceId":"1979383673138630657","miningFaceName":"6410综采工作面","createTime":null,"miningFaceType":"coal","orgCode":"10048","orgName":"新矿集团","isConfig":null,"warningAlarmInfoId":543535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107565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08:00:00","warningAlarmInfoHandelTime":null,"warningAlarmInfoUpdateTime":"2026-08-18 08:00:00","warningAlarmInfoParam":"21102回风巷，数据采集断线超过预设时间 (30 分钟)，最新数据时间：2026-08-18 07:25:28","alertType":"系统报警","baname":"工作面离线","b2name":"报警","bainame":"21102回风巷报警","count":null,"bdataAlertPushMids":null,"oid":null,"indicatorSystemRelatives":null,"updateTime":null,"algConfigId":null,"cameraId":null,"type":null,"mineCode":"140603004408","mineName":"大恒煤业","miningFaceId":"1983426489026797570","miningFaceName":"21102回风巷","createTime":null,"miningFaceType":"head","orgCode":"10053","orgName":"西北矿业","isConfig":null,"warningAlarmInfoId":543530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108724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00:10:00","warningAlarmInfoHandelTime":null,"warningAlarmInfoUpdateTime":"2026-08-18 00:10:00","warningAlarmInfoParam":"1206B胶运南段（北），数据采集断线超过预设时间 (30 分钟)，最新数据时间：2026-08-17 23:36:11","alertType":"系统报警","baname":"工作面离线","b2name":"报警","bainame":"1206B胶运南段（北）报警","count":null,"bdataAlertPushMids":null,"oid":null,"indicatorSystemRelatives":null,"updateTime":null,"algConfigId":null,"cameraId":null,"type":null,"mineCode":"150627003943","mineName":"石拉乌素煤矿","miningFaceId":"2068622414489292801","miningFaceName":"1206B胶运南段（北）","createTime":null,"miningFaceType":"head","orgCode":"10040","orgName":"兖矿能源","isConfig":null,"warningAlarmInfoId":543521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108092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19:20:00","warningAlarmInfoHandelTime":null,"warningAlarmInfoUpdateTime":"2026-08-17 19:20:00","warningAlarmInfoParam":"九采辅运巷，数据采集断线超过预设时间 (30 分钟)，最新数据时间：2026-08-17 18:47:14","alertType":"系统报警","baname":"工作面离线","b2name":"报警","bainame":"九采辅运巷报警","count":null,"bdataAlertPushMids":null,"oid":null,"indicatorSystemRelatives":null,"updateTime":null,"algConfigId":null,"cameraId":null,"type":null,"mineCode":"370883031447","mineName":"鲍店煤矿","miningFaceId":"2070405924510175234","miningFaceName":"九采辅运巷","createTime":null,"miningFaceType":"head","orgCode":"10040","orgName":"兖矿能源","isConfig":null,"warningAlarmInfoId":543515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106532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09:15:00","warningAlarmInfoHandelTime":null,"warningAlarmInfoUpdateTime":"2026-08-17 09:15:00","warningAlarmInfoParam":"23下02轨道巷（1），数据采集断线超过预设时间 (30 分钟)，最新数据时间：2026-08-17 08:43:52","alertType":"系统报警","baname":"工作面离线","b2name":"报警","bainame":"23下02轨道巷（1）报警","count":null,"bdataAlertPushMids":null,"oid":null,"indicatorSystemRelatives":null,"updateTime":null,"algConfigId":null,"cameraId":null,"type":null,"mineCode":"370826027782","mineName":"七五煤业","miningFaceId":"2073312083740590081","miningFaceName":"23下02轨道巷（1）","createTime":null,"miningFaceType":"head","orgCode":"10047","orgName":"枣矿集团","isConfig":null,"warningAlarmInfoId":543495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99280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18:15:00","warningAlarmInfoHandelTime":null,"warningAlarmInfoUpdateTime":"2026-08-16 18:15:00","warningAlarmInfoParam":"7311综采工作面，数据采集断线超过预设时间 (30 分钟)，最新数据时间：2026-08-16 17:43:07","alertType":"系统报警","baname":"工作面离线","b2name":"报警","bainame":"7311综采工作面报警","count":null,"bdataAlertPushMids":null,"oid":null,"indicatorSystemRelatives":null,"updateTime":null,"algConfigId":null,"cameraId":null,"type":null,"mineCode":"370811032955","mineName":"王楼煤矿","miningFaceId":"1867550432680353794","miningFaceName":"7311综采工作面","createTime":null,"miningFaceType":"coal","orgCode":"10044","orgName":"鲁西矿业","isConfig":null,"warningAlarmInfoId":543457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107669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16:10:00","warningAlarmInfoHandelTime":null,"warningAlarmInfoUpdateTime":"2026-08-16 16:10:00","warningAlarmInfoParam":"11101回风巷-2，数据采集断线超过预设时间 (30 分钟)，最新数据时间：2026-08-16 15:36:32","alertType":"系统报警","baname":"工作面离线","b2name":"报警","bainame":"11101回风巷-2报警","count":null,"bdataAlertPushMids":null,"oid":null,"indicatorSystemRelatives":null,"updateTime":null,"algConfigId":null,"cameraId":null,"type":null,"mineCode":"140603004408","mineName":"大恒煤业","miningFaceId":"1868561876802265090","miningFaceName":"11101回风巷-2","createTime":null,"miningFaceType":"head","orgCode":"10053","orgName":"西北矿业","isConfig":null,"warningAlarmInfoId":543456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51804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15:30:00","warningAlarmInfoHandelTime":null,"warningAlarmInfoUpdateTime":"2026-08-16 15:30:00","warningAlarmInfoParam":"1123225综放工作面，数据采集断线超过预设时间 (30 分钟)，最新数据时间：2026-08-16 14:59:16","alertType":"系统报警","baname":"工作面离线","b2name":"报警","bainame":"1123225综放工作面报警","count":null,"bdataAlertPushMids":null,"oid":null,"indicatorSystemRelatives":null,"updateTime":null,"algConfigId":null,"cameraId":null,"type":null,"mineCode":"654023016136","mineName":"伊新煤业","miningFaceId":"1661533579677630466","miningFaceName":"1123225综放工作面","createTime":null,"miningFaceType":"coal","orgCode":"10046","orgName":"新疆能化","isConfig":null,"warningAlarmInfoId":543453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82473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07:30:00","warningAlarmInfoHandelTime":null,"warningAlarmInfoUpdateTime":"2026-08-16 07:30:00","warningAlarmInfoParam":"7308辅顺里段，数据采集断线超过预设时间 (30 分钟)，最新数据时间：2026-08-16 06:57:35","alertType":"系统报警","baname":"工作面离线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543424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77012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16:55:00","warningAlarmInfoHandelTime":null,"warningAlarmInfoUpdateTime":"2026-08-15 16:55:00","warningAlarmInfoParam":"31607运输巷，数据采集断线超过预设时间 (30 分钟)，最新数据时间：2026-08-15 16:24:47","alertType":"系统报警","baname":"工作面离线","b2name":"报警","bainame":"31607运输巷报警","count":null,"bdataAlertPushMids":null,"oid":null,"indicatorSystemRelatives":null,"updateTime":null,"algConfigId":null,"cameraId":null,"type":null,"mineCode":"370481032042","mineName":"蒋庄煤矿","miningFaceId":"1992438488054345729","miningFaceName":"31607运输巷","createTime":null,"miningFaceType":"head","orgCode":"10047","orgName":"枣矿集团","isConfig":null,"warningAlarmInfoId":543381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109311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11:35:00","warningAlarmInfoHandelTime":null,"warningAlarmInfoUpdateTime":"2026-08-15 11:35:00","warningAlarmInfoParam":"210-503主运巷（里段），数据采集断线超过预设时间 (30 分钟)，最新数据时间：2026-08-15 11:02:56","alertType":"系统报警","baname":"工作面离线","b2name":"报警","bainame":"210-503主运巷（里段）报警","count":null,"bdataAlertPushMids":null,"oid":null,"indicatorSystemRelatives":null,"updateTime":null,"algConfigId":null,"cameraId":null,"type":null,"mineCode":"652801020222","mineName":"秦华煤矿","miningFaceId":"2057833480433360897","miningFaceName":"210-503主运巷（里段）","createTime":null,"miningFaceType":"head","orgCode":"10046","orgName":"新疆能化","isConfig":null,"warningAlarmInfoId":543372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108540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09:35:00","warningAlarmInfoHandelTime":null,"warningAlarmInfoUpdateTime":"2026-08-15 09:35:00","warningAlarmInfoParam":"4-1煤南翼泄水边界巷，数据采集断线超过预设时间 (30 分钟)，最新数据时间：2026-08-15 09:02:52","alertType":"系统报警","baname":"工作面离线","b2name":"报警","bainame":"4-1煤南翼泄水边界巷报警","count":null,"bdataAlertPushMids":null,"oid":null,"indicatorSystemRelatives":null,"updateTime":null,"algConfigId":null,"cameraId":null,"type":null,"mineCode":"150627003943","mineName":"石拉乌素煤矿","miningFaceId":"2068304987796668417","miningFaceName":"4-1煤南翼泄水边界巷","createTime":null,"miningFaceType":"head","orgCode":"10040","orgName":"兖矿能源","isConfig":null,"warningAlarmInfoId":543361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103820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06:15:00","warningAlarmInfoHandelTime":null,"warningAlarmInfoUpdateTime":"2026-08-15 06:15:00","warningAlarmInfoParam":"13上05辅运巷，数据采集断线超过预设时间 (30 分钟)，最新数据时间：2026-08-15 05:42:24","alertType":"系统报警","baname":"工作面离线","b2name":"报警","bainame":"13上05辅运巷报警","count":null,"bdataAlertPushMids":null,"oid":null,"indicatorSystemRelatives":null,"updateTime":null,"algConfigId":null,"cameraId":null,"type":null,"mineCode":"150623013321","mineName":"长城三矿","miningFaceId":"1981185995244806146","miningFaceName":"13上05辅运巷","createTime":null,"miningFaceType":"head","orgCode":"10048","orgName":"新矿集团","isConfig":null,"warningAlarmInfoId":543354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82455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-15 04:05:00","warningAlarmInfoHandelTime":null,"warningAlarmInfoUpdateTime":"2026-08-15 04:05:00","warningAlarmInfoParam":"7308辅顺里段，天线数据异常，时间: 2026-08-11 11:42:08","alertType":"系统报警","baname":"天线数据异常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543346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107278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00:30:00","warningAlarmInfoHandelTime":null,"warningAlarmInfoUpdateTime":"2026-08-15 00:30:00","warningAlarmInfoParam":"73上07辅助进风巷，数据采集断线超过预设时间 (30 分钟)，最新数据时间：2026-08-14 23:59:26","alertType":"系统报警","baname":"工作面离线","b2name":"报警","bainame":"73上07辅助进风巷报警","count":null,"bdataAlertPushMids":null,"oid":null,"indicatorSystemRelatives":null,"updateTime":null,"algConfigId":null,"cameraId":null,"type":null,"mineCode":"370882032954","mineName":"新驿煤矿","miningFaceId":"2077940110141915138","miningFaceName":"73上07辅助进风巷","createTime":null,"miningFaceType":"head","orgCode":"10044","orgName":"鲁西矿业","isConfig":null,"warningAlarmInfoId":543333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81439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-14 21:40:00","warningAlarmInfoHandelTime":null,"warningAlarmInfoUpdateTime":"2026-08-14 21:40:00","warningAlarmInfoParam":"11209综采工作面，天线数据异常，时间: 2026-08-14 21:29:09","alertType":"系统报警","baname":"天线数据异常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543329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],"total":"47","size":"20","current":"1","orders":[],"hitCount":false,"searchCount":true,"pages":"3"}}</t>
  </si>
  <si>
    <t>{"status":"10000","msg":"success","data":{"durationTotal":"62977802506","content":{"records":[{"id":"2089184191279882241","groupCode":"10048","mineCode":"371425027847","mineName":null,"disconnectionTime":"2026-08-17 10:24:16","recoveryTime":"2026-08-17 14:20:23","disconnectionDuration":"14167","interruptCheckTime":"2026-08-17 10:55:00","recoveryCheckTime":"2026-08-17 14:30:00","interruptCheckDuration":"12899","disconnectionClause":null,"recoveryMeasures":null,"processingPerson":null,"processingTime":null,"memo":null,"createdAt":"2026-08-17 10:55:00","updatedAt":"2026-08-17 10:55:00"},{"id":"2089159029805375490","groupCode":"10047","mineCode":"370826027782","mineName":null,"disconnectionTime":"2026-08-17 08:43:52","recoveryTime":null,"disconnectionDuration":null,"interruptCheckTime":"2026-08-17 09:15:00","recoveryCheckTime":null,"interruptCheckDuration":null,"disconnectionClause":null,"recoveryMeasures":null,"processingPerson":null,"processingTime":null,"memo":null,"createdAt":"2026-08-17 09:15:00","updatedAt":"2026-08-17 09:15:00"},{"id":"2088956441101164546","groupCode":"10053","mineCode":"610428016227","mineName":null,"disconnectionTime":"2026-08-16 19:18:31","recoveryTime":"2026-08-16 20:38:58","disconnectionDuration":"4827","interruptCheckTime":"2026-08-16 19:50:00","recoveryCheckTime":"2026-08-16 20:40:00","interruptCheckDuration":"3000","disconnectionClause":null,"recoveryMeasures":null,"processingPerson":null,"processingTime":null,"memo":null,"createdAt":"2026-08-16 19:50:00","updatedAt":"2026-08-16 19:50:00"},{"id":"2088794121116934145","groupCode":"10044","mineCode":"370983030684","mineName":null,"disconnectionTime":"2026-08-16 08:31:29","recoveryTime":"2026-08-16 13:13:45","disconnectionDuration":"16936","interruptCheckTime":"2026-08-16 09:05:00","recoveryCheckTime":"2026-08-16 13:15:00","interruptCheckDuration":"15000","disconnectionClause":null,"recoveryMeasures":null,"processingPerson":null,"processingTime":null,"memo":null,"createdAt":"2026-08-16 09:05:00","updatedAt":"2026-08-16 09:05:00"},{"id":"2088587761313996802","groupCode":"10048","mineCode":"370921032545","mineName":null,"disconnectionTime":"2026-08-15 18:53:41","recoveryTime":"2026-08-15 20:28:42","disconnectionDuration":"5701","interruptCheckTime":"2026-08-15 19:25:00","recoveryCheckTime":"2026-08-15 20:40:00","interruptCheckDuration":"4499","disconnectionClause":null,"recoveryMeasures":null,"processingPerson":null,"processingTime":null,"memo":null,"createdAt":"2026-08-15 19:25:00","updatedAt":"2026-08-15 19:25:00"},{"id":"2088469481806979073","groupCode":"10046","mineCode":"652801020222","mineName":null,"disconnectionTime":"2026-08-15 11:02:56","recoveryTime":null,"disconnectionDuration":null,"interruptCheckTime":"2026-08-15 11:35:00","recoveryCheckTime":null,"interruptCheckDuration":null,"disconnectionClause":null,"recoveryMeasures":null,"processingPerson":null,"processingTime":null,"memo":null,"createdAt":"2026-08-15 11:35:00","updatedAt":"2026-08-15 11:35:00"},{"id":"2088461932181413889","groupCode":"10047","mineCode":"370826033459","mineName":null,"disconnectionTime":"2026-08-15 10:32:32","recoveryTime":"2026-08-15 12:48:58","disconnectionDuration":"8186","interruptCheckTime":"2026-08-15 11:05:00","recoveryCheckTime":"2026-08-15 12:50:00","interruptCheckDuration":"6299","disconnectionClause":null,"recoveryMeasures":null,"processingPerson":null,"processingTime":null,"memo":null,"createdAt":"2026-08-15 11:05:00","updatedAt":"2026-08-15 11:05:00"},{"id":"2088195174820306946","groupCode":"10047","mineCode":"370826027782","mineName":null,"disconnectionTime":"2026-08-14 16:52:36","recoveryTime":"2026-08-14 17:36:52","disconnectionDuration":"2656","interruptCheckTime":"2026-08-14 17:25:00","recoveryCheckTime":"2026-08-14 17:45:00","interruptCheckDuration":"1200","disconnectionClause":null,"recoveryMeasures":null,"processingPerson":null,"processingTime":null,"memo":null,"createdAt":"2026-08-14 17:25:00","updatedAt":"2026-08-14 17:25:00"},{"id":"2088141068219015169","groupCode":"10048","mineCode":"152526018849","mineName":null,"disconnectionTime":"2026-08-14 13:16:03","recoveryTime":"2026-08-14 13:58:59","disconnectionDuration":"2576","interruptCheckTime":"2026-08-14 13:50:00","recoveryCheckTime":"2026-08-14 14:00:00","interruptCheckDuration":"599","disconnectionClause":null,"recoveryMeasures":null,"processingPerson":null,"processingTime":null,"memo":null,"createdAt":"2026-08-14 13:50:00","updatedAt":"2026-08-14 13:50:00"},{"id":"2088097028031209473","groupCode":"10048","mineCode":"371425030206","mineName":null,"disconnectionTime":"2026-08-14 10:20:16","recoveryTime":"2026-08-14 11:08:36","disconnectionDuration":"2900","interruptCheckTime":"2026-08-14 10:55:00","recoveryCheckTime":"2026-08-14 11:20:00","interruptCheckDuration":"1500","disconnectionClause":null,"recoveryMeasures":null,"processingPerson":null,"processingTime":null,"memo":null,"createdAt":"2026-08-14 10:55:00","updatedAt":"2026-08-14 10:55:00"}],"total":"12151","size":"10","current":"1","orders":[{"column":"disconnection_time","asc":false}],"optimizeCountSql":true,"hitCount":false,"searchCount":true,"pages":"1216"}}}</t>
  </si>
  <si>
    <t>{"status":"10000","msg":"success","data":{"records":[{"id":175819311,"groupCode":"10044","mineCode":"371725002482","systemCode":"9902058845133218738177","systemName":"西翼一号回风巷（反掘）","status":0,"lastUploadDate":"2026-08-18 14:59:13","nextUploadDate":null,"uploadStatus":null,"groupSort":60,"mineSort":60,"groupEnabled":null,"mineEnabled":null,"indicatorId":null,"parentId":null,"timeLimit":null,"enabledAt":null,"beforeStatus":null,"statusChanged":null},{"id":175819249,"groupCode":"10040","mineCode":"370811027892","systemCode":"9902077252395079557122","systemName":"西区边界回风巷中段","status":0,"lastUploadDate":"2026-08-18 14:58:31","nextUploadDate":null,"uploadStatus":null,"groupSort":90,"mineSort":149,"groupEnabled":null,"mineEnabled":null,"indicatorId":null,"parentId":null,"timeLimit":null,"enabledAt":null,"beforeStatus":null,"statusChanged":null},{"id":177345142,"groupCode":"10053","mineCode":"610428015776","systemCode":"9902071761058574073857","systemName":"西区2#排水系统配水巷Ⅱ段","status":1,"lastUploadDate":"2026-07-17 12:34:38","nextUploadDate":null,"uploadStatus":null,"groupSort":70,"mineSort":20,"groupEnabled":null,"mineEnabled":null,"indicatorId":null,"parentId":null,"timeLimit":null,"enabledAt":null,"beforeStatus":null,"statusChanged":null},{"id":175819203,"groupCode":"10040","mineCode":"370801003889","systemCode":"9901986646837734768641","systemName":"南翼胶带输送机大巷（延伸）","status":1,"lastUploadDate":"2026-08-18 14:11:04","nextUploadDate":null,"uploadStatus":null,"groupSort":90,"mineSort":159,"groupEnabled":null,"mineEnabled":null,"indicatorId":null,"parentId":null,"timeLimit":null,"enabledAt":null,"beforeStatus":null,"statusChanged":null},{"id":175819273,"groupCode":"10048","mineCode":"150623013131","systemCode":"9902065969638124175361","systemName":"南翼15煤运输巷","status":1,"lastUploadDate":"2026-08-06 02:01:03","nextUploadDate":null,"uploadStatus":null,"groupSort":80,"mineSort":150,"groupEnabled":null,"mineEnabled":null,"indicatorId":null,"parentId":null,"timeLimit":null,"enabledAt":null,"beforeStatus":null,"statusChanged":null},{"id":175819215,"groupCode":"10048","mineCode":"150623013131","systemCode":"9902030133352204025858","systemName":"南翼15煤回风巷","status":0,"lastUploadDate":"2026-08-18 14:59:05","nextUploadDate":null,"uploadStatus":null,"groupSort":80,"mineSort":150,"groupEnabled":null,"mineEnabled":null,"indicatorId":null,"parentId":null,"timeLimit":null,"enabledAt":null,"beforeStatus":null,"statusChanged":null},{"id":177344569,"groupCode":"10044","mineCode":"370983030684","systemCode":"9902046026390786191362","systemName":"十采区北翼煤柱综采工作面","status":1,"lastUploadDate":"2026-07-22 13:51:00","nextUploadDate":null,"uploadStatus":null,"groupSort":60,"mineSort":90,"groupEnabled":null,"mineEnabled":null,"indicatorId":null,"parentId":null,"timeLimit":null,"enabledAt":null,"beforeStatus":null,"statusChanged":null},{"id":175819204,"groupCode":"10044","mineCode":"370829027902","systemCode":"9902026464055879516161","systemName":"十二采区胶带上山","status":0,"lastUploadDate":"2026-08-18 14:57:56","nextUploadDate":null,"uploadStatus":null,"groupSort":60,"mineSort":30,"groupEnabled":null,"mineEnabled":null,"indicatorId":null,"parentId":null,"timeLimit":null,"enabledAt":null,"beforeStatus":null,"statusChanged":null},{"id":175819179,"groupCode":"10044","mineCode":"371724006040","systemCode":"9901976118453966942209","systemName":"十二采区回风巷2#（仓顶）","status":0,"lastUploadDate":"2026-08-18 14:58:48","nextUploadDate":null,"uploadStatus":null,"groupSort":60,"mineSort":10,"groupEnabled":null,"mineEnabled":null,"indicatorId":null,"parentId":null,"timeLimit":null,"enabledAt":null,"beforeStatus":null,"statusChanged":null},{"id":169529368,"groupCode":"10040","mineCode":"371725004138","systemCode":"9902040681111698505730","systemName":"北部辅运大巷（里段）","status":0,"lastUploadDate":"2026-08-18 14:58:57","nextUploadDate":null,"uploadStatus":null,"groupSort":90,"mineSort":129,"groupEnabled":null,"mineEnabled":null,"indicatorId":null,"parentId":null,"timeLimit":null,"enabledAt":null,"beforeStatus":null,"statusChanged":null}],"total":"257","size":"10","current":"1","orders":[{"column":"system_name","asc":false}],"optimizeCountSql":true,"hitCount":false,"searchCount":true,"pages":"26"}}</t>
  </si>
  <si>
    <t>{"status":"10000","msg":"success","data":[{"mineCode":null,"mineName":null,"orgCode":"10048","orgName":"新矿集团","miningFaceId":null,"miningFaceName":null,"miningFaceType":null,"jcNum":0,"eleNum":0,"offLineNum":12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10040","orgName":"兖矿能源","miningFaceId":null,"miningFaceName":null,"miningFaceType":null,"jcNum":0,"eleNum":0,"offLineNum":12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10053","orgName":"西北矿业","miningFaceId":null,"miningFaceName":null,"miningFaceType":null,"jcNum":0,"eleNum":0,"offLineNum":6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10046","orgName":"新疆能化","miningFaceId":null,"miningFaceName":null,"miningFaceType":null,"jcNum":0,"eleNum":0,"offLineNum":6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10047","orgName":"枣矿集团","miningFaceId":null,"miningFaceName":null,"miningFaceType":null,"jcNum":0,"eleNum":0,"offLineNum":5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10044","orgName":"鲁西矿业","miningFaceId":null,"miningFaceName":null,"miningFaceType":null,"jcNum":0,"eleNum":0,"offLineNum":2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,{"mineCode":null,"mineName":null,"orgCode":"10052","orgName":"贵州矿业","miningFaceId":null,"miningFaceName":null,"miningFaceType":null,"jcNum":0,"eleNum":0,"offLineNum":1,"distanceNum":0,"signalNum":0,"antennaResverseNum":null,"threeNoNum":null,"loseDistanceNum":null,"dayJcNum":null,"monthJcNum":null,"mineOffLineNum":null,"unBindNum":null,"noCollectNum":null,"noUpdateNum":null,"noFillingNum":null,"mineFileNum":null,"companyFileNum":null,"actualJsNum":null,"gatherJsNum":null,"gatherJsAllNum":null,"companyName":null,"companyCode":null,"faceStatus":null,"aa":null,"offLineDuration":null}]}</t>
  </si>
  <si>
    <t>{"status":"10000","msg":null,"data":{"records":[{"id":79113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14:45:00","warningAlarmInfoHandelTime":null,"warningAlarmInfoUpdateTime":"2026-08-18 14:45:00","warningAlarmInfoParam":"南翼胶带输送机大巷（延伸），数据采集断线超过预设时间 (30 分钟)，最新数据时间：2026-08-18 14:11:04","alertType":"系统报警","baname":"工作面离线","b2name":"报警","bainame":"南翼胶带输送机大巷（延伸）报警","count":null,"bdataAlertPushMids":null,"oid":null,"indicatorSystemRelatives":null,"updateTime":null,"algConfigId":null,"cameraId":null,"type":null,"mineCode":"370801003889","mineName":"济二煤矿","miningFaceId":"1986646837734768641","miningFaceName":"南翼胶带输送机大巷（延伸）","createTime":null,"miningFaceType":"head","orgCode":"10040","orgName":"兖矿能源","isConfig":null,"warningAlarmInfoId":543549,"warningAlarmInfoHandle":0,"reportStatus":"未报备","reportId":null,"disposeStatus":"待处置","responseStatus":"未响应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68135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13:00:00","warningAlarmInfoHandelTime":null,"warningAlarmInfoUpdateTime":"2026-08-18 13:00:00","warningAlarmInfoParam":"3301运顺，数据采集断线超过预设时间 (30 分钟)，最新数据时间：2026-08-18 12:25:32","alertType":"系统报警","baname":"工作面离线","b2name":"报警","bainame":"3301运顺报警","count":null,"bdataAlertPushMids":null,"oid":null,"indicatorSystemRelatives":null,"updateTime":null,"algConfigId":null,"cameraId":null,"type":null,"mineCode":"370883003032","mineName":"东滩煤矿","miningFaceId":"1934870099220176897","miningFaceName":"3301运顺","createTime":null,"miningFaceType":"head","orgCode":"10040","orgName":"兖矿能源","isConfig":null,"warningAlarmInfoId":543547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109232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10:15:00","warningAlarmInfoParam":"11208运输顺槽反掘，数据采集断线超过预设时间 (30 分钟)，最新数据时间：2026-08-18 09:41:32","alertType":"系统报警","baname":"工作面离线","b2name":"报警","bainame":"11208运输顺槽反掘报警","count":null,"bdataAlertPushMids":null,"oid":null,"indicatorSystemRelatives":null,"updateTime":null,"algConfigId":null,"cameraId":null,"type":null,"mineCode":"140931007071","mineName":"望田煤业","miningFaceId":"2071126179332718594","miningFaceName":"11208运输顺槽反掘","createTime":null,"miningFaceType":"head","orgCode":"10053","orgName":"西北矿业","isConfig":null,"warningAlarmInfoId":543541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81458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10:15:00","warningAlarmInfoHandelTime":null,"warningAlarmInfoUpdateTime":"2026-08-18 10:15:00","warningAlarmInfoParam":"11209综采工作面，数据采集断线超过预设时间 (30 分钟)，最新数据时间：2026-08-18 09:41:32","alertType":"系统报警","baname":"工作面离线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543540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100840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09:15:00","warningAlarmInfoHandelTime":null,"warningAlarmInfoUpdateTime":"2026-08-18 09:15:00","warningAlarmInfoParam":"6410综采工作面，数据采集断线超过预设时间 (30 分钟)，最新数据时间：2026-08-18 08:44:40","alertType":"系统报警","baname":"工作面离线","b2name":"报警","bainame":"6410综采工作面报警","count":null,"bdataAlertPushMids":null,"oid":null,"indicatorSystemRelatives":null,"updateTime":null,"algConfigId":null,"cameraId":null,"type":null,"mineCode":"370982030705","mineName":"翟镇煤矿","miningFaceId":"1979383673138630657","miningFaceName":"6410综采工作面","createTime":null,"miningFaceType":"coal","orgCode":"10048","orgName":"新矿集团","isConfig":null,"warningAlarmInfoId":543535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107565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08:00:00","warningAlarmInfoHandelTime":null,"warningAlarmInfoUpdateTime":"2026-08-18 08:00:00","warningAlarmInfoParam":"21102回风巷，数据采集断线超过预设时间 (30 分钟)，最新数据时间：2026-08-18 07:25:28","alertType":"系统报警","baname":"工作面离线","b2name":"报警","bainame":"21102回风巷报警","count":null,"bdataAlertPushMids":null,"oid":null,"indicatorSystemRelatives":null,"updateTime":null,"algConfigId":null,"cameraId":null,"type":null,"mineCode":"140603004408","mineName":"大恒煤业","miningFaceId":"1983426489026797570","miningFaceName":"21102回风巷","createTime":null,"miningFaceType":"head","orgCode":"10053","orgName":"西北矿业","isConfig":null,"warningAlarmInfoId":543530,"warningAlarmInfoHandle":0,"reportStatus":"未报备","reportId":null,"disposeStatus":"待处置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108724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-18 00:10:00","warningAlarmInfoHandelTime":null,"warningAlarmInfoUpdateTime":"2026-08-18 00:10:00","warningAlarmInfoParam":"1206B胶运南段（北），数据采集断线超过预设时间 (30 分钟)，最新数据时间：2026-08-17 23:36:11","alertType":"系统报警","baname":"工作面离线","b2name":"报警","bainame":"1206B胶运南段（北）报警","count":null,"bdataAlertPushMids":null,"oid":null,"indicatorSystemRelatives":null,"updateTime":null,"algConfigId":null,"cameraId":null,"type":null,"mineCode":"150627003943","mineName":"石拉乌素煤矿","miningFaceId":"2068622414489292801","miningFaceName":"1206B胶运南段（北）","createTime":null,"miningFaceType":"head","orgCode":"10040","orgName":"兖矿能源","isConfig":null,"warningAlarmInfoId":543521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108092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19:20:00","warningAlarmInfoHandelTime":null,"warningAlarmInfoUpdateTime":"2026-08-17 19:20:00","warningAlarmInfoParam":"九采辅运巷，数据采集断线超过预设时间 (30 分钟)，最新数据时间：2026-08-17 18:47:14","alertType":"系统报警","baname":"工作面离线","b2name":"报警","bainame":"九采辅运巷报警","count":null,"bdataAlertPushMids":null,"oid":null,"indicatorSystemRelatives":null,"updateTime":null,"algConfigId":null,"cameraId":null,"type":null,"mineCode":"370883031447","mineName":"鲍店煤矿","miningFaceId":"2070405924510175234","miningFaceName":"九采辅运巷","createTime":null,"miningFaceType":"head","orgCode":"10040","orgName":"兖矿能源","isConfig":null,"warningAlarmInfoId":543515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106532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-17 09:15:00","warningAlarmInfoHandelTime":null,"warningAlarmInfoUpdateTime":"2026-08-17 09:15:00","warningAlarmInfoParam":"23下02轨道巷（1），数据采集断线超过预设时间 (30 分钟)，最新数据时间：2026-08-17 08:43:52","alertType":"系统报警","baname":"工作面离线","b2name":"报警","bainame":"23下02轨道巷（1）报警","count":null,"bdataAlertPushMids":null,"oid":null,"indicatorSystemRelatives":null,"updateTime":null,"algConfigId":null,"cameraId":null,"type":null,"mineCode":"370826027782","mineName":"七五煤业","miningFaceId":"2073312083740590081","miningFaceName":"23下02轨道巷（1）","createTime":null,"miningFaceType":"head","orgCode":"10047","orgName":"枣矿集团","isConfig":null,"warningAlarmInfoId":543495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99280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18:15:00","warningAlarmInfoHandelTime":null,"warningAlarmInfoUpdateTime":"2026-08-16 18:15:00","warningAlarmInfoParam":"7311综采工作面，数据采集断线超过预设时间 (30 分钟)，最新数据时间：2026-08-16 17:43:07","alertType":"系统报警","baname":"工作面离线","b2name":"报警","bainame":"7311综采工作面报警","count":null,"bdataAlertPushMids":null,"oid":null,"indicatorSystemRelatives":null,"updateTime":null,"algConfigId":null,"cameraId":null,"type":null,"mineCode":"370811032955","mineName":"王楼煤矿","miningFaceId":"1867550432680353794","miningFaceName":"7311综采工作面","createTime":null,"miningFaceType":"coal","orgCode":"10044","orgName":"鲁西矿业","isConfig":null,"warningAlarmInfoId":543457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107669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16:10:00","warningAlarmInfoHandelTime":null,"warningAlarmInfoUpdateTime":"2026-08-16 16:10:00","warningAlarmInfoParam":"11101回风巷-2，数据采集断线超过预设时间 (30 分钟)，最新数据时间：2026-08-16 15:36:32","alertType":"系统报警","baname":"工作面离线","b2name":"报警","bainame":"11101回风巷-2报警","count":null,"bdataAlertPushMids":null,"oid":null,"indicatorSystemRelatives":null,"updateTime":null,"algConfigId":null,"cameraId":null,"type":null,"mineCode":"140603004408","mineName":"大恒煤业","miningFaceId":"1868561876802265090","miningFaceName":"11101回风巷-2","createTime":null,"miningFaceType":"head","orgCode":"10053","orgName":"西北矿业","isConfig":null,"warningAlarmInfoId":543456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51804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15:30:00","warningAlarmInfoHandelTime":null,"warningAlarmInfoUpdateTime":"2026-08-16 15:30:00","warningAlarmInfoParam":"1123225综放工作面，数据采集断线超过预设时间 (30 分钟)，最新数据时间：2026-08-16 14:59:16","alertType":"系统报警","baname":"工作面离线","b2name":"报警","bainame":"1123225综放工作面报警","count":null,"bdataAlertPushMids":null,"oid":null,"indicatorSystemRelatives":null,"updateTime":null,"algConfigId":null,"cameraId":null,"type":null,"mineCode":"654023016136","mineName":"伊新煤业","miningFaceId":"1661533579677630466","miningFaceName":"1123225综放工作面","createTime":null,"miningFaceType":"coal","orgCode":"10046","orgName":"新疆能化","isConfig":null,"warningAlarmInfoId":543453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82473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-16 07:30:00","warningAlarmInfoHandelTime":null,"warningAlarmInfoUpdateTime":"2026-08-16 07:30:00","warningAlarmInfoParam":"7308辅顺里段，数据采集断线超过预设时间 (30 分钟)，最新数据时间：2026-08-16 06:57:35","alertType":"系统报警","baname":"工作面离线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543424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77012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16:55:00","warningAlarmInfoHandelTime":null,"warningAlarmInfoUpdateTime":"2026-08-15 16:55:00","warningAlarmInfoParam":"31607运输巷，数据采集断线超过预设时间 (30 分钟)，最新数据时间：2026-08-15 16:24:47","alertType":"系统报警","baname":"工作面离线","b2name":"报警","bainame":"31607运输巷报警","count":null,"bdataAlertPushMids":null,"oid":null,"indicatorSystemRelatives":null,"updateTime":null,"algConfigId":null,"cameraId":null,"type":null,"mineCode":"370481032042","mineName":"蒋庄煤矿","miningFaceId":"1992438488054345729","miningFaceName":"31607运输巷","createTime":null,"miningFaceType":"head","orgCode":"10047","orgName":"枣矿集团","isConfig":null,"warningAlarmInfoId":543381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109311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11:35:00","warningAlarmInfoHandelTime":null,"warningAlarmInfoUpdateTime":"2026-08-15 11:35:00","warningAlarmInfoParam":"210-503主运巷（里段），数据采集断线超过预设时间 (30 分钟)，最新数据时间：2026-08-15 11:02:56","alertType":"系统报警","baname":"工作面离线","b2name":"报警","bainame":"210-503主运巷（里段）报警","count":null,"bdataAlertPushMids":null,"oid":null,"indicatorSystemRelatives":null,"updateTime":null,"algConfigId":null,"cameraId":null,"type":null,"mineCode":"652801020222","mineName":"秦华煤矿","miningFaceId":"2057833480433360897","miningFaceName":"210-503主运巷（里段）","createTime":null,"miningFaceType":"head","orgCode":"10046","orgName":"新疆能化","isConfig":null,"warningAlarmInfoId":543372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108540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09:35:00","warningAlarmInfoHandelTime":null,"warningAlarmInfoUpdateTime":"2026-08-15 09:35:00","warningAlarmInfoParam":"4-1煤南翼泄水边界巷，数据采集断线超过预设时间 (30 分钟)，最新数据时间：2026-08-15 09:02:52","alertType":"系统报警","baname":"工作面离线","b2name":"报警","bainame":"4-1煤南翼泄水边界巷报警","count":null,"bdataAlertPushMids":null,"oid":null,"indicatorSystemRelatives":null,"updateTime":null,"algConfigId":null,"cameraId":null,"type":null,"mineCode":"150627003943","mineName":"石拉乌素煤矿","miningFaceId":"2068304987796668417","miningFaceName":"4-1煤南翼泄水边界巷","createTime":null,"miningFaceType":"head","orgCode":"10040","orgName":"兖矿能源","isConfig":null,"warningAlarmInfoId":543361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103820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06:15:00","warningAlarmInfoHandelTime":null,"warningAlarmInfoUpdateTime":"2026-08-15 06:15:00","warningAlarmInfoParam":"13上05辅运巷，数据采集断线超过预设时间 (30 分钟)，最新数据时间：2026-08-15 05:42:24","alertType":"系统报警","baname":"工作面离线","b2name":"报警","bainame":"13上05辅运巷报警","count":null,"bdataAlertPushMids":null,"oid":null,"indicatorSystemRelatives":null,"updateTime":null,"algConfigId":null,"cameraId":null,"type":null,"mineCode":"150623013321","mineName":"长城三矿","miningFaceId":"1981185995244806146","miningFaceName":"13上05辅运巷","createTime":null,"miningFaceType":"head","orgCode":"10048","orgName":"新矿集团","isConfig":null,"warningAlarmInfoId":543354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82455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-15 04:05:00","warningAlarmInfoHandelTime":null,"warningAlarmInfoUpdateTime":"2026-08-15 04:05:00","warningAlarmInfoParam":"7308辅顺里段，天线数据异常，时间: 2026-08-11 11:42:08","alertType":"系统报警","baname":"天线数据异常","b2name":"报警","bainame":"7308辅顺里段报警","count":null,"bdataAlertPushMids":null,"oid":null,"indicatorSystemRelatives":null,"updateTime":null,"algConfigId":null,"cameraId":null,"type":null,"mineCode":"370883031447","mineName":"鲍店煤矿","miningFaceId":"1988174706735521793","miningFaceName":"7308辅顺里段","createTime":null,"miningFaceType":"head","orgCode":"10040","orgName":"兖矿能源","isConfig":null,"warningAlarmInfoId":543346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107278,"name":null,"typeId":87,"active":null,"indictor":"工作面离线","condition":"工作面离线&gt;1800秒产生报警","oper":"预警信息推送给指定负责人","reminder":null,"sms":null,"warningcreatetime":null,"channelPushModeId":null,"typeName":null,"warningAlarmInfoCreatetime":"2026-08-15 00:30:00","warningAlarmInfoHandelTime":null,"warningAlarmInfoUpdateTime":"2026-08-15 00:30:00","warningAlarmInfoParam":"73上07辅助进风巷，数据采集断线超过预设时间 (30 分钟)，最新数据时间：2026-08-14 23:59:26","alertType":"系统报警","baname":"工作面离线","b2name":"报警","bainame":"73上07辅助进风巷报警","count":null,"bdataAlertPushMids":null,"oid":null,"indicatorSystemRelatives":null,"updateTime":null,"algConfigId":null,"cameraId":null,"type":null,"mineCode":"370882032954","mineName":"新驿煤矿","miningFaceId":"2077940110141915138","miningFaceName":"73上07辅助进风巷","createTime":null,"miningFaceType":"head","orgCode":"10044","orgName":"鲁西矿业","isConfig":null,"warningAlarmInfoId":543333,"warningAlarmInfoHandle":0,"reportStatus":"未报备"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,{"id":81439,"name":null,"typeId":69,"active":null,"indictor":"天线数据异常","condition":"天线数据异常","oper":"预警信息推送给指定负责人","reminder":null,"sms":null,"warningcreatetime":null,"channelPushModeId":null,"typeName":null,"warningAlarmInfoCreatetime":"2026-08-14 21:40:00","warningAlarmInfoHandelTime":null,"warningAlarmInfoUpdateTime":"2026-08-14 21:40:00","warningAlarmInfoParam":"11209综采工作面，天线数据异常，时间: 2026-08-14 21:29:09","alertType":"系统报警","baname":"天线数据异常","b2name":"报警","bainame":"11209综采工作面报警","count":null,"bdataAlertPushMids":null,"oid":null,"indicatorSystemRelatives":null,"updateTime":null,"algConfigId":null,"cameraId":null,"type":null,"mineCode":"140931007071","mineName":"望田煤业","miningFaceId":"1980461496534794242","miningFaceName":"11209综采工作面","createTime":null,"miningFaceType":"coal","orgCode":"10053","orgName":"西北矿业","isConfig":null,"warningAlarmInfoId":543329,"warningAlarmInfoHandle":0,"reportStatus":null,"reportId":null,"disposeStatus":"处置超时","responseStatus":"响应超时","wdCreateTime":null,"faceStatus":null,"duration":null,"offLineTimeCount":null,"offLineTime":null,"disposeDescription":null,"reason":null,"specialReport":null,"alarmProfessionalReview":null,"assessmentAmount":null,"listingSituation":null,"fileId":null,"fileName":null,"technology":null,"warningStatus":null,"statusName":null,"isPushFile":null,"smsSwitch":null,"disposePersonName":null,"imageName":null,"ptypeName":null}],"total":"106513","size":"20","current":"1","orders":[],"hitCount":false,"searchCount":true,"pages":"5326"}}</t>
  </si>
  <si>
    <t>{"total":"42758","rows":[{"id":"260b1aa4-eb3b-40a5-b920-eb0617e2798c","companyCode":"10040","companyName":"兖矿能源","companySort":1,"mineCode":"370883031447","mineName":"鲍店煤矿","mineSort":3,"faceNo":"1988174706735521793","faceName":"7308辅顺里段","technology":"综掘","faceType":"head","linkId":"548548132397412357","reportDate":"2026-08-17","fillInFootage":"7.80","dayIncre":"0.00","gatherFootage":null,"adjustValueFilter":null,"footageDeviation":"7.80","footageDeviationPercent":"100.00","percent":"100.00%","causeAnalysis":null,"warningCount":null,"reportReview":null,"reportReviewRemark":null,"systemAnalysis":"施工中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7bf47d7d-2b6b-479f-a41e-f5e146600b48","companyCode":"10040","companyName":"兖矿能源","companySort":1,"mineCode":"370801003889","mineName":"济二煤矿","mineSort":5,"faceNo":"1843105282508787713","faceName":"93下12切眼","technology":"综掘","faceType":"head","linkId":"453471074626051973","reportDate":"2026-08-17","fillInFootage":"4.20","dayIncre":"0.00","gatherFootage":null,"adjustValueFilter":null,"footageDeviation":"4.20","footageDeviationPercent":"100.00","percent":"100.00%","causeAnalysis":null,"warningCount":null,"reportReview":null,"reportReviewRemark":null,"systemAnalysis":"已暂停; 未绑定;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28e19b71-fb35-49a5-bc66-58cc3629c5ca","companyCode":"10040","companyName":"兖矿能源","companySort":1,"mineCode":"370882035910","mineName":"杨村煤矿","mineSort":7,"faceNo":"1806711666791055361","faceName":"61702综采工作面","technology":"综采","faceType":"coal","linkId":"453079815260479173","reportDate":"2026-08-17","fillInFootage":"3.46","dayIncre":"0.00","gatherFootage":null,"adjustValueFilter":null,"footageDeviation":"3.46","footageDeviationPercent":"100.00","percent":"100.00%","causeAnalysis":null,"warningCount":null,"reportReview":null,"reportReviewRemark":null,"systemAnalysis":"生产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c085823e-6133-4728-8c8e-4fce126c9587","companyCode":"10040","companyName":"兖矿能源","companySort":1,"mineCode":"150627003945","mineName":"转龙湾煤矿","mineSort":11,"faceNo":"2075574214215790594","faceName":"32102胶运顺槽","technology":"掘锚机","faceType":"head","linkId":"486262353390745605","reportDate":"2026-08-17","fillInFootage":"18.00","dayIncre":"0.00","gatherFootage":null,"adjustValueFilter":null,"footageDeviation":"18.00","footageDeviationPercent":"100.00","percent":"100.00%","causeAnalysis":null,"warningCount":null,"reportReview":null,"reportReviewRemark":null,"systemAnalysis":"施工中; 未绑定;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135ada63-1cd6-42a6-93b5-ae17b465f10b","companyCode":"10040","companyName":"兖矿能源","companySort":1,"mineCode":"150626013454","mineName":"营盘壕煤矿","mineSort":12,"faceNo":"1901229067627397122","faceName":"2213辅运顺槽","technology":"综掘","faceType":"head","linkId":"454147779183255557","reportDate":"2026-08-17","fillInFootage":"4.00","dayIncre":"0.00","gatherFootage":null,"adjustValueFilter":null,"footageDeviation":"4.00","footageDeviationPercent":"100.00","percent":"100.00%","causeAnalysis":null,"warningCount":null,"reportReview":null,"reportReviewRemark":null,"systemAnalysis":"施工中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c021ca8b-6b1d-443d-a509-dd766db48cfc","companyCode":"10040","companyName":"兖矿能源","companySort":1,"mineCode":"150627003943","mineName":"石拉乌素煤矿","mineSort":13,"faceNo":"1747885352619147266","faceName":"1210综放工作面","technology":"综放","faceType":"coal","linkId":"453128724238311045","reportDate":"2026-08-17","fillInFootage":"4.00","dayIncre":"0.00","gatherFootage":null,"adjustValueFilter":null,"footageDeviation":"4.00","footageDeviationPercent":"100.00","percent":"100.00%","causeAnalysis":null,"warningCount":null,"reportReview":null,"reportReviewRemark":null,"systemAnalysis":"生产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9bc39107-3f03-4cfc-b4b0-8e96bc323985","companyCode":"10040","companyName":"兖矿能源","companySort":1,"mineCode":"610802017592","mineName":"金鸡滩煤矿","mineSort":14,"faceNo":"2035511799002107905","faceName":"12-2上121辅运顺槽掘进工作面","technology":"连采","faceType":"head","linkId":"776696283875353541","reportDate":"2026-08-17","fillInFootage":"13.00","dayIncre":"0.00","gatherFootage":null,"adjustValueFilter":null,"footageDeviation":"13.00","footageDeviationPercent":"100.00","percent":"100.00%","causeAnalysis":null,"warningCount":null,"reportReview":null,"reportReviewRemark":null,"systemAnalysis":"施工中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087cc57d-ec29-428d-bffb-9c20e2bab180","companyCode":"10040","companyName":"兖矿能源","companySort":1,"mineCode":"610802017592","mineName":"金鸡滩煤矿","mineSort":14,"faceNo":"2066004946369314818","faceName":"一水平西辅运大巷延伸掘进工作面","technology":"综掘","faceType":"head","linkId":"759421160931820421","reportDate":"2026-08-17","fillInFootage":"11.00","dayIncre":"0.00","gatherFootage":null,"adjustValueFilter":null,"footageDeviation":"11.00","footageDeviationPercent":"100.00","percent":"100.00%","causeAnalysis":null,"warningCount":null,"reportReview":null,"reportReviewRemark":null,"systemAnalysis":"施工中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794be6f8-64fd-40e7-8fdd-2b587633d9c0","companyCode":"10048","companyName":"新矿集团","companySort":2,"mineCode":"370921032545","mineName":"华丰煤矿","mineSort":3,"faceNo":"1959576862839709698","faceName":"11601疏水巷","technology":"综掘","faceType":"head","linkId":"643778422753005765","reportDate":"2026-08-17","fillInFootage":"7.00","dayIncre":"0.00","gatherFootage":null,"adjustValueFilter":null,"footageDeviation":"7.00","footageDeviationPercent":"100.00","percent":"100.00%","causeAnalysis":null,"warningCount":null,"reportReview":null,"reportReviewRemark":null,"systemAnalysis":"已暂停; 未绑定;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,{"id":"4a1a5601-ac1b-4cce-8770-f0c399ffe94c","companyCode":"10048","companyName":"新矿集团","companySort":2,"mineCode":"371425030206","mineName":"邱集煤矿","mineSort":7,"faceNo":"2044982363641483265","faceName":"121112胶带顺槽","technology":"综掘","faceType":"head","linkId":"748808434073299973","reportDate":"2026-08-17","fillInFootage":"10.90","dayIncre":"0.00","gatherFootage":null,"adjustValueFilter":null,"footageDeviation":"10.90","footageDeviationPercent":"100.00","percent":"100.00%","causeAnalysis":null,"warningCount":null,"reportReview":null,"reportReviewRemark":null,"systemAnalysis":"施工中; 已绑定; ","causeCreateTime":null,"causeCreateUser":null,"causeUpdateTime":null,"causeUpdateUser":null,"fileUpload":"N","fileId":null,"fileName":null,"uploadTime":null,"fileIdTwo":null,"fileNameTwo":null,"uploadTimeTwo":null,"alarmReview":null,"reasonClassification":null,"remark":null,"zrDept":null,"examineAmount":null,"listingSituation":null,"examineCreateTime":null,"examineCreateUser":null,"examineUpdateTime":null,"examineUpdateUser":null,"isDelete":0,"isShow":0,"startDate":null,"endDate":null,"ids":null,"configTime":null,"compareMethod":null}],"code":200,"msg":"查询成功","msgRemark":null}</t>
  </si>
  <si>
    <t>{"total":"2730","rows":[{"id":23254,"companyCode":"10040","companyName":"兖矿能源","mineCode":"370883034238","mineName":"南屯煤矿","faceNo":"1986244090316611586","faceName":"33上10运顺（东）","technology":"综掘","faceType":"head","linkId":null,"reportMonth":"2026-08","fillInFootage":"64.70","dayIncre":"0.00","gatherFootage":"150.51","adjustValueFilter":"96.95","footageDeviation":"85.81","footageDeviationPercent":"57.01","percent":"57.01%","causeAnalysis":null,"warningCount":14,"fileUpload":"N","reportReview":null,"reportReviewRemark":null,"systemAnalysis":"基站挪移产生96.95m异常数据；工作面离线时长12时35分0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23227,"companyCode":"10040","companyName":"兖矿能源","mineCode":"370882033042","mineName":"兴隆庄煤矿","faceNo":"1964233192644091905","faceName":"中翼新增回风巷","technology":"综掘","faceType":"head","linkId":null,"reportMonth":"2026-08","fillInFootage":"62.00","dayIncre":"0.00","gatherFootage":"159.43","adjustValueFilter":"138.02","footageDeviation":"97.43","footageDeviationPercent":"61.11","percent":"61.11%","causeAnalysis":null,"warningCount":1,"fileUpload":"N","reportReview":null,"reportReviewRemark":null,"systemAnalysis":"基站挪移产生138.02m异常数据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23190,"companyCode":"10040","companyName":"兖矿能源","mineCode":"370882033042","mineName":"兴隆庄煤矿","faceNo":"1985972830638678017","faceName":"1315综放工作面","technology":"综放","faceType":"coal","linkId":null,"reportMonth":"2026-08","fillInFootage":"38.40","dayIncre":"0.00","gatherFootage":"144.59","adjustValueFilter":"115.98","footageDeviation":"106.19","footageDeviationPercent":"73.44","percent":"73.44%","causeAnalysis":null,"warningCount":2,"fileUpload":"N","reportReview":null,"reportReviewRemark":null,"systemAnalysis":"基站挪移产生115.98m异常数据；工作面离线时长3时15分0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23192,"companyCode":"10040","companyName":"兖矿能源","mineCode":"370883031447","mineName":"鲍店煤矿","faceNo":"1988100311562801153","faceName":"123上03-2综放工作面","technology":"综放","faceType":"coal","linkId":null,"reportMonth":"2026-08","fillInFootage":"90.20","dayIncre":"0.00","gatherFootage":"199.49","adjustValueFilter":"113.20","footageDeviation":"109.29","footageDeviationPercent":"54.78","percent":"54.78%","causeAnalysis":null,"warningCount":null,"fileUpload":"N","reportReview":null,"reportReviewRemark":null,"systemAnalysis":"基站挪移产生113.2m异常数据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23166,"companyCode":"10040","companyName":"兖矿能源","mineCode":"370883031447","mineName":"鲍店煤矿","faceNo":"1922929141482172418","faceName":"83上03综放工作面","technology":"综放","faceType":"coal","linkId":null,"reportMonth":"2026-08","fillInFootage":"72.25","dayIncre":"0.00","gatherFootage":"175.48","adjustValueFilter":"108.00","footageDeviation":"103.23","footageDeviationPercent":"58.83","percent":"58.83%","causeAnalysis":null,"warningCount":1,"fileUpload":"N","reportReview":null,"reportReviewRemark":null,"systemAnalysis":"基站挪移产生108.0m异常数据；工作面离线时长5分0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23307,"companyCode":"10040","companyName":"兖矿能源","mineCode":"370883003032","mineName":"东滩煤矿","faceNo":"2064591711845941250","faceName":"63上07轨顺外段","technology":"综掘","faceType":"head","linkId":null,"reportMonth":"2026-08","fillInFootage":"9.63","dayIncre":"0.00","gatherFootage":"45.10","adjustValueFilter":"34.68","footageDeviation":"35.47","footageDeviationPercent":"78.65","percent":"78.65%","causeAnalysis":null,"warningCount":null,"fileUpload":"N","reportReview":null,"reportReviewRemark":null,"systemAnalysis":"基站挪移产生34.68m异常数据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23259,"companyCode":"10040","companyName":"兖矿能源","mineCode":"370801003889","mineName":"济二煤矿","faceNo":"1987053439284932609","faceName":"123上01辅顺","technology":"综掘","faceType":"head","linkId":null,"reportMonth":"2026-08","fillInFootage":"6.00","dayIncre":"0.00","gatherFootage":"227.77","adjustValueFilter":"223.19","footageDeviation":"221.77","footageDeviationPercent":"97.37","percent":"97.37%","causeAnalysis":null,"warningCount":1,"fileUpload":"N","reportReview":null,"reportReviewRemark":null,"systemAnalysis":"基站挪移产生223.19m异常数据；工作面离线时长4时10分0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23209,"companyCode":"10040","companyName":"兖矿能源","mineCode":"370801003889","mineName":"济二煤矿","faceNo":"1843105282508787713","faceName":"93下12切眼","technology":"综掘","faceType":"head","linkId":null,"reportMonth":"2026-08","fillInFootage":"15.80","dayIncre":"0.00","gatherFootage":"0.00","adjustValueFilter":null,"footageDeviation":"15.80","footageDeviationPercent":"100.00","percent":"100.00%","causeAnalysis":null,"warningCount":null,"fileUpload":"N","reportReview":null,"reportReviewRemark":null,"systemAnalysis":"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23258,"companyCode":"10040","companyName":"兖矿能源","mineCode":"370801003889","mineName":"济二煤矿","faceNo":"1987021422820204545","faceName":"93下15胶顺","technology":"综掘","faceType":"head","linkId":null,"reportMonth":"2026-08","fillInFootage":"43.90","dayIncre":"0.00","gatherFootage":"181.71","adjustValueFilter":"140.42","footageDeviation":"137.81","footageDeviationPercent":"75.84","percent":"75.84%","causeAnalysis":null,"warningCount":4,"fileUpload":"N","reportReview":null,"reportReviewRemark":null,"systemAnalysis":"基站挪移产生140.42m异常数据；工作面离线时长12天8时49分42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,{"id":23198,"companyCode":"10040","companyName":"兖矿能源","mineCode":"370811027892","mineName":"济三煤矿","faceNo":"2031268266920054785","faceName":"23下04综放工作面","technology":"综放","faceType":"coal","linkId":null,"reportMonth":"2026-08","fillInFootage":"80.10","dayIncre":"0.00","gatherFootage":"199.46","adjustValueFilter":"115.90","footageDeviation":"119.36","footageDeviationPercent":"59.84","percent":"59.84%","causeAnalysis":null,"warningCount":1,"fileUpload":"N","reportReview":null,"reportReviewRemark":null,"systemAnalysis":"基站挪移产生115.9m异常数据；工作面离线时长15分0秒","causeCreateTime":null,"causeCreateUser":null,"causeUpdateTime":null,"causeUpdateUser":null,"fileId":null,"fileName":null,"uploadTime":null,"fileIdTwo":null,"fileNameTwo":null,"uploadTimeTwo":null,"reasonClassification":null,"remark":null,"alarmReview":null,"zrDept":null,"examineAmount":null,"listingSituation":null,"examineCreateTime":null,"examineCreateUser":null,"examineUpdateTime":null,"examineUpdateUser":null,"startMonth":null,"endMonth":null,"ids":null,"compareMethod":null}],"code":200,"msg":"查询成功","msgRemark":null}</t>
  </si>
  <si>
    <t>"code":200</t>
  </si>
  <si>
    <t>{"code":200,"data":{"current":1,"hitCount":false,"optimizeCountSql":true,"orders":[],"pages":4469,"records":[{"baseSation":"4","baseSationCoordinateX":3.949223243E7,"baseSationCoordinateY":3929234.937,"companyName":"兖矿能源","compensation":1500,"contacts":"position","createTime":"2026-08-06 15:18:25","createUser":null,"createUserName":"东滩系统管理员","designPoints":"[{\"id\":2073203078803611649,\"sort\":0,\"x\":3.9492943076E7,\"y\":3928994.623,\"z\":-546.5},{\"id\":2073203078807805954,\"sort\":1,\"x\":3.9492682372654E7,\"y\":3929082.51627,\"z\":-546.5},{\"id\":2073203078807805955,\"sort\":2,\"x\":3.949262292654E7,\"y\":3929100.608395,\"z\":-546.5},{\"id\":2073203078807805957,\"sort\":3,\"x\":3.9492596136243E7,\"y\":3929111.080293,\"z\":-546.5},{\"id\":2073203078807805958,\"sort\":4,\"x\":3.9492541447535E7,\"y\":3929130.129566,\"z\":-546.5},{\"id\":2073203078807805959,\"sort\":5,\"x\":3.9492466433988E7,\"y\":3929155.368619,\"z\":-546.5},{\"id\":2073203078807805960,\"sort\":6,\"x\":3.94923860981E7,\"y\":3929182.6627,\"z\":-546.5},{\"id\":2073203078807805961,\"sort\":7,\"x\":3.94922977811E7,\"y\":3929212.7859,\"z\":-546.5},{\"id\":2073203078807805962,\"sort\":8,\"x\":3.9491913170343E7,\"y\":3929343.296636,\"z\":-546.5}]","errorType":"ewf","faceStatus":"施工中","finishPoints":"[{\"id\":2073203016896495618,\"sort\":0,\"x\":3.94929430760002E7,\"y\":3928994.623000158,\"z\":-546.5},{\"id\":2073203016896495619,\"sort\":1,\"x\":3.9492682372654095E7,\"y\":3929082.516270261,\"z\":-546.5},{\"id\":2073203016896495620,\"sort\":2,\"x\":3.9492622926540226E7,\"y\":3929100.6083952817,\"z\":-546.5},{\"id\":2073203016896495621,\"sort\":3,\"x\":3.949259613624325E7,\"y\":3929111.0802926486,\"z\":-546.5},{\"id\":2073203016896495622,\"sort\":4,\"x\":3.949254144753544E7,\"y\":3929130.1295658695,\"z\":-546.5},{\"id\":2073203016896495623,\"sort\":5,\"x\":3.9492466433988355E7,\"y\":3929155.368619334,\"z\":-546.5},{\"id\":2073203016896495624,\"sort\":6,\"x\":3.94923860981E7,\"y\":3929182.6627,\"z\":-546.5},{\"id\":2073203016896495625,\"sort\":7,\"x\":3.94922977811E7,\"y\":3929212.7859,\"z\":-546.5}]","id":"2085264213049806850","isBind":1,"isDeal":0,"isSuccess":1,"orgId":"1579040274339954689","orgName":"东滩煤矿","param":"{\"content\":[{\"mine_name\":\"东滩煤矿\",\"company_name\":\"兖矿能源\",\"mine_code\":\"370883003032\",\"company_code\":\"10040\",\"lane\":[{\"lane_type\":\"ewf\",\"wf_id\":1934870099220176897,\"lane_id\":1934870099220176897,\"lane_name\":\"3301运顺\",\"update_time\":1786000704006,\"transition\":0,\"transitionTimes\":0,\"isResetFootageKeep\":1,\"stations\":[{\"station_code\":\"4\",\"pos_x\":\"3.949223243E7\",\"pos_y\":\"3929234.937\"}],\"targets\":[{}],\"location_label_code\":\"10103\",\"location_work_mode\":\"1\",\"compensation\":1500.0,\"finish_points\":[{\"id\":2073203016896495618,\"sort\":0,\"x\":3.94929430760002E7,\"y\":3928994.623000158,\"z\":-546.5},{\"id\":2073203016896495619,\"sort\":1,\"x\":3.9492682372654095E7,\"y\":3929082.516270261,\"z\":-546.5},{\"id\":2073203016896495620,\"sort\":2,\"x\":3.9492622926540226E7,\"y\":3929100.6083952817,\"z\":-546.5},{\"id\":2073203016896495621,\"sort\":3,\"x\":3.949259613624325E7,\"y\":3929111.0802926486,\"z\":-546.5},{\"id\":2073203016896495622,\"sort\":4,\"x\":3.949254144753544E7,\"y\":3929130.1295658695,\"z\":-546.5},{\"id\":2073203016896495623,\"sort\":5,\"x\":3.9492466433988355E7,\"y\":3929155.368619334,\"z\":-546.5},{\"id\":2073203016896495624,\"sort\":6,\"x\":3.94923860981E7,\"y\":3929182.6627,\"z\":-546.5},{\"id\":2073203016896495625,\"sort\":7,\"x\":3.94922977811E7,\"y\":3929212.7859,\"z\":-546.5}],\"coming_points\":[{\"id\":2073203078803611649,\"sort\":0,\"x\":3.9492943076E7,\"y\":3928994.623,\"z\":-546.5},{\"id\":2073203078807805954,\"sort\":1,\"x\":3.9492682372654E7,\"y\":3929082.51627,\"z\":-546.5},{\"id\":2073203078807805955,\"sort\":2,\"x\":3.949262292654E7,\"y\":3929100.608395,\"z\":-546.5},{\"id\":2073203078807805957,\"sort\":3,\"x\":3.9492596136243E7,\"y\":3929111.080293,\"z\":-546.5},{\"id\":2073203078807805958,\"sort\":4,\"x\":3.9492541447535E7,\"y\":3929130.129566,\"z\":-546.5},{\"id\":2073203078807805959,\"sort\":5,\"x\":3.9492466433988E7,\"y\":3929155.368619,\"z\":-546.5},{\"id\":2073203078807805960,\"sort\":6,\"x\":3.94923860981E7,\"y\":3929182.6627,\"z\":-546.5},{\"id\":2073203078807805961,\"sort\":7,\"x\":3.94922977811E7,\"y\":3929212.7859,\"z\":-546.5},{\"id\":2073203078807805962,\"sort\":8,\"x\":3.9491913170343E7,\"y\":3929343.296636,\"z\":-546.5}],\"is_delete\":\"0\",\"is_bind\":\"1\",\"driving_status\":\"施工中\"}],\"timestamp\":1786000704006}],\"type_code\":\"pos_cfg\",\"timestamp\":1786000704239}","positionLabel":"10103","preStationDistance":0.0,"remark":"5月12日挪移—6月12日挪移—6月16日挪移—7月14日挪移","removeFinishTime":"2026-07-31 13:50","removeStartTime":"2026-07-31 12:40","result":"{\"msg\":\"操作成功\",\"code\":200}","returnWindPoints":null,"startPointChangeDistance":0.0,"startPointMoveDistance":0.0,"stationId":2085264207161004033,"stationMoveDistance":0.0,"target":null,"targetCoordinateX":null,"targetCoordinateY":null,"transporPoints":null,"tunnelStartPointX":3.9492943076E7,"tunnelStartPointY":3928994.623,"twoBaseStationCodes":null,"url":"http://172.18.51.13:9092/sys/systemConfig/groupSetting","workFaceId":"1934870099220176897","workFaceName":"3301运顺","workingMode":"1"},{"baseSation":"8282","baseSationCoordinateX":3.6394818447E7,"baseSationCoordinateY":4041583.643,"companyName":"西北矿业","compensation":-5600,"contacts":"position","createTime":"2026-08-04 14:20:17","createUser":null,"createUserName":"系统","designPoints":null,"errorType":"mwf","faceStatus":"生产","finishPoints":null,"id":"2084524808865517569","isBind":1,"isDeal":0,"isSuccess":1,"orgId":"1830437414531268609","orgName":"刘园子煤矿","param":"{\"content\":[{\"mine_name\":\"刘园子煤矿\",\"company_name\":\"西北矿业\",\"mine_code\":\"621000110639\",\"company_code\":\"10053\",\"timestamp\":1785824417594,\"wf\":[{\"wf_type\":\"mwf\",\"wf_id\":1903703673739190273,\"wf_name\":\"51505综放工作面\",\"update_time\":1785824417594,\"transition\":0,\"transitionTimes\":0,\"isResetFootageKeep\":1,\"stations\":[{\"station_code\":\"8282\",\"pos_x\":\"3.6394818447E7\",\"pos_y\":\"4041583.643\"}],\"targets\":[],\"location_label_code\":\"9817\",\"location_work_mode\":\"1\",\"compensation\":-5600.0,\"transport_chute_param\":[{\"sort\":0,\"x\":3.639461790679819E7,\"y\":4041291.1685268274,\"z\":1216.1498930134994},{\"sort\":1,\"x\":3.639461946019578E7,\"y\":4041293.428322754,\"z\":1216.2968035217054},{\"sort\":2,\"x\":3.63950353261437E7,\"y\":4041898.40684299,\"z\":1255.6267717070011}],\"return_wind_chute_param\":[{\"sort\":0,\"x\":3.63947533057638E7,\"y\":4041191.1972152293,\"z\":1252.508},{\"sort\":1,\"x\":3.639475809041771E7,\"y\":4041198.158857195,\"z\":1252.508},{\"sort\":2,\"x\":3.6395173903476216E7,\"y\":4041803.164296173,\"z\":1252.508}],\"is_delete\":\"0\",\"is_bind\":\"1\",\"mining_status\":\"生产\",\"return_wind_points\":[{\"sort\":0,\"x\":3.63947533057638E7,\"y\":4041191.1972152293,\"z\":1252.508},{\"sort\":1,\"x\":3.639475809041771E7,\"y\":4041198.158857195,\"z\":1252.508},{\"sort\":2,\"x\":3.6395173903476216E7,\"y\":4041803.164296173,\"z\":1252.508}],\"transport_points\":[{\"sort\":0,\"x\":3.639461790679819E7,\"y\":4041291.1685268274,\"z\":1216.1498930134994},{\"sort\":1,\"x\":3.639461946019578E7,\"y\":4041293.428322754,\"z\":1216.2968035217054},{\"sort\":2,\"x\":3.63950353261437E7,\"y\":4041898.40684299,\"z\":1255.6267717070011}]}]}],\"type_code\":\"pos_cfg\",\"timestamp\":1785824417594}","positionLabel":"9817","preStationDistance":35.0503106830412,"remark":"（基站解绑）","removeFinishTime":"2026-07-20 19:08","removeStartTime":"2026-07-20 18:08","result":"{\"msg\":\"操作成功\",\"code\":200}","returnWindPoints":"[{\"sort\":0,\"x\":3.63947533057638E7,\"y\":4041191.1972152293,\"z\":1252.508},{\"sort\":1,\"x\":3.639475809041771E7,\"y\":4041198.158857195,\"z\":1252.508},{\"sort\":2,\"x\":3.6395173903476216E7,\"y\":4041803.164296173,\"z\":1252.508}]","startPointChangeDistance":0.0,"startPointMoveDistance":0.0,"stationId":2079161527256690690,"stationMoveDistance":35.0503106830412,"target":null,"targetCoordinateX":null,"targetCoordinateY":null,"transporPoints":"[{\"sort\":0,\"x\":3.639461790679819E7,\"y\":4041291.1685268274,\"z\":1216.1498930134994},{\"sort\":1,\"x\":3.639461946019578E7,\"y\":4041293.428322754,\"z\":1216.2968035217054},{\"sort\":2,\"x\":3.63950353261437E7,\"y\":4041898.40684299,\"z\":1255.6267717070011}]","tunnelStartPointX":3.63950353261437E7,"tunnelStartPointY":4041898.40684299,"twoBaseStationCodes":null,"url":"http://172.18.51.13:9092/sys/systemConfig/groupSetting","workFaceId":"1903703673739190273","workFaceName":"51505综放工作面","workingMode":"1"},{"baseSation":"7969","baseSationCoordinateX":3.639452701E7,"baseSationCoordinateY":4040794.541,"companyName":"西北矿业","compensation":1200,"contacts":"position","createTime":"2026-08-04 14:20:13","createUser":null,"createUserName":"系统","designPoints":"[{\"id\":2072576673681481730,\"sort\":0,\"x\":3.6394656025958E7,\"y\":4041021.409437,\"z\":1178.44},{\"id\":2072576673685676033,\"sort\":1,\"x\":3.6394589700518E7,\"y\":4040902.662098,\"z\":1178.44},{\"id\":2072576673685676034,\"sort\":2,\"x\":3.6394428660111E7,\"y\":4040614.981905,\"z\":1178.44}]","errorType":"ewf","faceStatus":"施工中","finishPoints":"[{\"id\":2072576659182444546,\"sort\":0,\"x\":3.639465602595829E7,\"y\":4041021.409437497,\"z\":1178.44},{\"id\":2072576659182444547,\"sort\":1,\"x\":3.639458970051839E7,\"y\":4040902.6620982094,\"z\":1178.44}]","id":"2084524789676576769","isBind":1,"isDeal":0,"isSuccess":1,"orgId":"1830437414531268609","orgName":"刘园子煤矿","param":"{\"content\":[{\"mine_name\":\"刘园子煤矿\",\"company_name\":\"西北矿业\",\"mine_code\":\"621000110639\",\"company_code\":\"10053\",\"lane\":[{\"lane_type\":\"ewf\",\"wf_id\":2067510051140759554,\"lane_id\":2067510051140759554,\"lane_name\":\"51502回风巷\",\"update_time\":1785824412791,\"transition\":0,\"transitionTimes\":0,\"isResetFootageKeep\":1,\"stations\":[{\"station_code\":\"7969\",\"pos_x\":\"3.639452701E7\",\"pos_y\":\"4040794.541\"}],\"targets\":[{\"target_code\":\"\"}],\"location_label_code\":\"9885\",\"location_work_mode\":\"1\",\"compensation\":1200.0,\"finish_points\":[{\"id\":2072576659182444546,\"sort\":0,\"x\":3.639465602595829E7,\"y\":4041021.409437497,\"z\":1178.44},{\"id\":2072576659182444547,\"sort\":1,\"x\":3.639458970051839E7,\"y\":4040902.6620982094,\"z\":1178.44}],\"coming_points\":[{\"id\":2072576673681481730,\"sort\":0,\"x\":3.6394656025958E7,\"y\":4041021.409437,\"z\":1178.44},{\"id\":2072576673685676033,\"sort\":1,\"x\":3.6394589700518E7,\"y\":4040902.662098,\"z\":1178.44},{\"id\":2072576673685676034,\"sort\":2,\"x\":3.6394428660111E7,\"y\":4040614.981905,\"z\":1178.44}],\"is_delete\":\"0\",\"is_bind\":\"1\",\"driving_status\":\"施工中\"}],\"timestamp\":1785824412791}],\"type_code\":\"pos_cfg\",\"timestamp\":1785824413013}","positionLabel":"9885","preStationDistance":115.131512175834,"remark":"（基站解绑）","removeFinishTime":"2026-07-22 12:30","removeStartTime":"2026-07-22 10:10","result":"{\"msg\":\"操作成功\",\"code\":200}","returnWindPoints":null,"startPointChangeDistance":0.0,"startPointMoveDistance":0.0,"stationId":2079786306948489218,"stationMoveDistance":115.131512175834,"target":"","targetCoordinateX":null,"targetCoordinateY":null,"transporPoints":null,"tunnelStartPointX":3.6394656025958E7,"tunnelStartPointY":4041021.409437,"twoBaseStationCodes":null,"url":"http://172.18.51.13:9092/sys/systemConfig/groupSetting","workFaceId":"2067510051140759554","workFaceName":"51502回风巷","workingMode":"1"},{"baseSation":"31893","baseSationCoordinateX":2.0660737911E7,"baseSationCoordinateY":5067180.219,"companyName":"新矿集团","compensation":-2260,"contacts":"position","createTime":"2026-08-04 14:19:37","createUser":null,"createUserName":"系统","designPoints":null,"errorType":"mwf","faceStatus":"生产","finishPoints":null,"id":"2084524640938168322","isBind":1,"isDeal":0,"isSuccess":1,"orgId":"1660565261491699713","orgName":"鲁新煤矿","param":"{\"content\":[{\"mine_name\":\"鲁新煤矿\",\"company_name\":\"新矿集团\",\"mine_code\":\"152526018849\",\"company_code\":\"10048\",\"timestamp\":1785824377542,\"wf\":[{\"wf_type\":\"mwf\",\"wf_id\":1981200042159165442,\"wf_name\":\"11107综采工作面\",\"update_time\":1785824377542,\"transition\":0,\"transitionTimes\":0,\"isResetFootageKeep\":1,\"stations\":[{\"station_code\":\"31893\",\"pos_x\":\"2.0660737911E7\",\"pos_y\":\"5067180.219\"}],\"targets\":[],\"location_label_code\":\"368751\",\"location_work_mode\":\"1\",\"compensation\":-2260.0,\"transport_chute_param\":[{\"sort\":0,\"x\":2.06616578184663E7,\"y\":5068598.12588717,\"z\":0.0},{\"sort\":1,\"x\":2.066165560478295E7,\"y\":5068594.717113743,\"z\":0.0},{\"sort\":2,\"x\":2.0660632550300762E7,\"y\":5067019.351360547,\"z\":0.0}],\"return_wind_chute_param\":[{\"sort\":0,\"x\":2.0661861617105372E7,\"y\":5068466.590508766,\"z\":0.0},{\"sort\":1,\"x\":2.066185903206338E7,\"y\":5068462.609893171,\"z\":0.0},{\"sort\":2,\"x\":2.06608359775812E7,\"y\":5066887.244139987,\"z\":0.0}],\"is_delete\":\"0\",\"is_bind\":\"1\",\"mining_status\":\"生产\",\"return_wind_points\":[{\"sort\":0,\"x\":2.0661861617105372E7,\"y\":5068466.590508766,\"z\":0.0},{\"sort\":1,\"x\":2.066185903206338E7,\"y\":5068462.609893171,\"z\":0.0},{\"sort\":2,\"x\":2.06608359775812E7,\"y\":5066887.244139987,\"z\":0.0}],\"transport_points\":[{\"sort\":0,\"x\":2.06616578184663E7,\"y\":5068598.12588717,\"z\":0.0},{\"sort\":1,\"x\":2.066165560478295E7,\"y\":5068594.717113743,\"z\":0.0},{\"sort\":2,\"x\":2.0660632550300762E7,\"y\":5067019.351360547,\"z\":0.0}]}]}],\"type_code\":\"pos_cfg\",\"timestamp\":1785824377542}","positionLabel":"368751","preStationDistance":90.7601870190524,"remark":"（基站解绑）","removeFinishTime":"2026-06-14 17:32","removeStartTime":"2026-06-14 16:50","result":"{\"msg\":\"操作成功\",\"code\":200}","returnWindPoints":"[{\"sort\":0,\"x\":2.0661861617105372E7,\"y\":5068466.590508766,\"z\":0.0},{\"sort\":1,\"x\":2.066185903206338E7,\"y\":5068462.609893171,\"z\":0.0},{\"sort\":2,\"x\":2.06608359775812E7,\"y\":5066887.244139987,\"z\":0.0}]","startPointChangeDistance":0.0,"startPointMoveDistance":0.0,"stationId":2066091351007232002,"stationMoveDistance":90.7601870190524,"target":null,"targetCoordinateX":null,"targetCoordinateY":null,"transporPoints":"[{\"sort\":0,\"x\":2.06616578184663E7,\"y\":5068598.12588717,\"z\":0.0},{\"sort\":1,\"x\":2.066165560478295E7,\"y\":5068594.717113743,\"z\":0.0},{\"sort\":2,\"x\":2.0660632550300762E7,\"y\":5067019.351360547,\"z\":0.0}]","tunnelStartPointX":2.06606325503008E7,"tunnelStartPointY":5067019.35136055,"twoBaseStationCodes":null,"url":"http://172.18.51.13:9092/sys/systemConfig/groupSetting","workFaceId":"1981200042159165442","workFaceName":"11107综采工作面","workingMode":"1"},{"baseSation":"32312","baseSationCoordinateX":2.0662317933E7,"baseSationCoordinateY":5068920.035,"companyName":"新矿集团","compensation":1600,"contacts":"position","createTime":"2026-08-04 14:19:33","createUser":null,"createUserName":"系统","designPoints":"[{\"id\":2074699842777120770,\"sort\":0,\"x\":2.0662100719666E7,\"y\":5068662.241771,\"z\":0.0},{\"id\":2074699842777120771,\"sort\":1,\"x\":2.0662205323082E7,\"y\":5068786.811749,\"z\":0.0},{\"id\":2074699842781315074,\"sort\":2,\"x\":2.0662821132869E7,\"y\":5069556.521698,\"z\":0.0}]","errorType":"ewf","faceStatus":"施工中","finishPoints":"[{\"id\":2074699768017936385,\"sort\":0,\"x\":2.066210071966575E7,\"y\":5068662.2417708775,\"z\":0.0},{\"id\":2074699768017936386,\"sort\":1,\"x\":2.0662205323082183E7,\"y\":5068786.811749038,\"z\":0.0}]","id":"2084524621954748418","isBind":1,"isDeal":0,"isSuccess":1,"orgId":"1660565261491699713","orgName":"鲁新煤矿","param":"{\"content\":[{\"mine_name\":\"鲁新煤矿\",\"company_name\":\"新矿集团\",\"mine_code\":\"152526018849\",\"company_code\":\"10048\",\"lane\":[{\"lane_type\":\"ewf\",\"wf_id\":2061690799936155649,\"lane_id\":2061690799936155649,\"lane_name\":\"11108辅运巷（外段）\",\"update_time\":1785824372752,\"transition\":0,\"transitionTimes\":0,\"isResetFootageKeep\":1,\"stations\":[{\"station_code\":\"32312\",\"pos_x\":\"2.0662317933E7\",\"pos_y\":\"5068920.035\"}],\"targets\":[{\"target_code\":\"\"}],\"location_label_code\":\"368857\",\"location_work_mode\":\"1\",\"compensation\":1600.0,\"finish_points\":[{\"id\":2074699768017936385,\"sort\":0,\"x\":2.066210071966575E7,\"y\":5068662.2417708775,\"z\":0.0},{\"id\":2074699768017936386,\"sort\":1,\"x\":2.0662205323082183E7,\"y\":5068786.811749038,\"z\":0.0}],\"coming_points\":[{\"id\":2074699842777120770,\"sort\":0,\"x\":2.0662100719666E7,\"y\":5068662.241771,\"z\":0.0},{\"id\":2074699842777120771,\"sort\":1,\"x\":2.0662205323082E7,\"y\":5068786.811749,\"z\":0.0},{\"id\":2074699842781315074,\"sort\":2,\"x\":2.0662821132869E7,\"y\":5069556.521698,\"z\":0.0}],\"is_delete\":\"0\",\"is_bind\":\"1\",\"driving_status\":\"施工中\"}],\"timestamp\":1785824372752}],\"type_code\":\"pos_cfg\",\"timestamp\":1785824373028}","positionLabel":"368857","preStationDistance":48.4582604267189,"remark":"（挪移基站（基站解绑）","removeFinishTime":"2026-07-29 13:07","removeStartTime":"2026-07-29 12:54","result":"{\"msg\":\"操作成功\",\"code\":200}","returnWindPoints":null,"startPointChangeDistance":0.0,"startPointMoveDistance":0.0,"stationId":2082332453872435201,"stationMoveDistance":48.4582604267189,"target":"","targetCoordinateX":null,"targetCoordinateY":null,"transporPoints":null,"tunnelStartPointX":2.0662100719666E7,"tunnelStartPointY":5068662.241771,"twoBaseStationCodes":null,"url":"http://172.18.51.13:9092/sys/systemConfig/groupSetting","workFaceId":"2061690799936155649","workFaceName":"11108辅运巷（外段）","workingMode":"1"},{"baseSation":"42715","baseSationCoordinateX":null,"baseSationCoordinateY":null,"companyName":"枣矿集团","compensation":0,"contacts":"position","createTime":"2026-08-04 14:19:32","createUser":null,"createUserName":"系统","designPoints":null,"errorType":"mwf","faceStatus":"生产","finishPoints":null,"id":"2084524619543023618","isBind":1,"isDeal":0,"isSuccess":1,"orgId":"1660550090014654465","orgName":"新安煤业","param":"{\"content\":[{\"mine_name\":\"新安煤业\",\"company_name\":\"枣矿集团\",\"mine_code\":\"370826003634\",\"company_code\":\"10047\",\"timestamp\":1785824372440,\"wf\":[{\"wf_type\":\"mwf\",\"wf_id\":1981305872949436418,\"wf_name\":\"13上02综采工作面\",\"update_time\":1785824372440,\"transition\":0,\"transitionTimes\":0,\"isResetFootageKeep\":1,\"stations\":[{\"station_code\":\"42715\"}],\"targets\":[{\"target_code\":\"724312\",\"pos_x\":\"3.9492229328E7\",\"pos_y\":\"3875538.516\"}],\"location_work_mode\":\"2\",\"compensation\":0.0,\"transport_chute_param\":[{\"sort\":0,\"x\":3.949223688284457E7,\"y\":3875389.159969271,\"z\":-78.35501401860552},{\"sort\":1,\"x\":3.949223498009089E7,\"y\":3875462.103612356,\"z\":-63.13933076441167},{\"sort\":2,\"x\":3.949222708438274E7,\"y\":3875764.792143061,\"z\":0.0},{\"sort\":3,\"x\":3.949222708438274E7,\"y\":3875764.792143061,\"z\":0.0},{\"sort\":4,\"x\":3.9492232913406156E7,\"y\":3875778.677100249,\"z\":0.0}],\"return_wind_chute_param\":[{\"sort\":0,\"x\":3.949227582261139E7,\"y\":3875431.847822779,\"z\":-123.1},{\"sort\":1,\"x\":3.949231829734433E7,\"y\":3875478.410894998,\"z\":-123.1},{\"sort\":2,\"x\":3.9492330904221475E7,\"y\":3875492.23122748,\"z\":-123.1},{\"sort\":3,\"x\":3.9492330904221475E7,\"y\":3875492.23122748,\"z\":-123.1},{\"sort\":4,\"x\":3.949233591193395E7,\"y\":3875505.399848014,\"z\":-123.61336583243948},{\"sort\":5,\"x\":3.949233591193395E7,\"y\":3875505.399848014,\"z\":-123.61336583243948},{\"sort\":6,\"x\":3.9492334463771366E7,\"y\":3875560.0949403667,\"z\":-129.8752750708137},{\"sort\":7,\"x\":3.9492334463771366E7,\"y\":3875560.0949403667,\"z\":-129.8752750708137},{\"sort\":8,\"x\":3.9492342442009605E7,\"y\":3875630.3006011057,\"z\":-138.79001481218836},{\"sort\":9,\"x\":3.9492342466658235E7,\"y\":3875630.5175002916,\"z\":-138.81772292050474},{\"sort\":10,\"x\":3.9492339168656275E7,\"y\":3875770.047293861,\"z\":-139.2},{\"sort\":11,\"x\":3.9492339168656275E7,\"y\":3875770.047293861,\"z\":-139.2},{\"sort\":12,\"x\":3.949233246769427E7,\"y\":3875781.138640433,\"z\":-139.2}],\"is_delete\":\"0\",\"is_bind\":\"1\",\"mining_status\":\"生产\",\"return_wind_points\":[{\"sort\":0,\"x\":3.949227582261139E7,\"y\":3875431.847822779,\"z\":-123.1},{\"sort\":1,\"x\":3.949231829734433E7,\"y\":3875478.410894998,\"z\":-123.1},{\"sort\":2,\"x\":3.9492330904221475E7,\"y\":3875492.23122748,\"z\":-123.1},{\"sort\":3,\"x\":3.9492330904221475E7,\"y\":3875492.23122748,\"z\":-123.1},{\"sort\":4,\"x\":3.949233591193395E7,\"y\":3875505.399848014,\"z\":-123.61336583243948},{\"sort\":5,\"x\":3.949233591193395E7,\"y\":3875505.399848014,\"z\":-123.61336583243948},{\"sort\":6,\"x\":3.9492334463771366E7,\"y\":3875560.0949403667,\"z\":-129.8752750708137},{\"sort\":7,\"x\":3.9492334463771366E7,\"y\":3875560.0949403667,\"z\":-129.8752750708137},{\"sort\":8,\"x\":3.9492342442009605E7,\"y\":3875630.3006011057,\"z\":-138.79001481218836},{\"sort\":9,\"x\":3.9492342466658235E7,\"y\":3875630.5175002916,\"z\":-138.81772292050474},{\"sort\":10,\"x\":3.9492339168656275E7,\"y\":3875770.047293861,\"z\":-139.2},{\"sort\":11,\"x\":3.9492339168656275E7,\"y\":3875770.047293861,\"z\":-139.2},{\"sort\":12,\"x\":3.949233246769427E7,\"y\":3875781.138640433,\"z\":-139.2}],\"transport_points\":[{\"sort\":0,\"x\":3.949223688284457E7,\"y\":3875389.159969271,\"z\":-78.35501401860552},{\"sort\":1,\"x\":3.949223498009089E7,\"y\":3875462.103612356,\"z\":-63.13933076441167},{\"sort\":2,\"x\":3.949222708438274E7,\"y\":3875764.792143061,\"z\":0.0},{\"sort\":3,\"x\":3.949222708438274E7,\"y\":3875764.792143061,\"z\":0.0},{\"sort\":4,\"x\":3.9492232913406156E7,\"y\":3875778.677100249,\"z\":0.0}]}]}],\"type_code\":\"pos_cfg\",\"timestamp\":1785824372440}","positionLabel":null,"preStationDistance":0.0,"remark":"（基站解绑）","removeFinishTime":"2026-07-30 13:44","removeStartTime":"2026-07-30 13:40","result":"{\"msg\":\"操作成功\",\"code\":200}","returnWindPoints":"[{\"sort\":0,\"x\":3.949227582261139E7,\"y\":3875431.847822779,\"z\":-123.1},{\"sort\":1,\"x\":3.949231829734433E7,\"y\":3875478.410894998,\"z\":-123.1},{\"sort\":2,\"x\":3.9492330904221475E7,\"y\":3875492.23122748,\"z\":-123.1},{\"sort\":3,\"x\":3.9492330904221475E7,\"y\":3875492.23122748,\"z\":-123.1},{\"sort\":4,\"x\":3.949233591193395E7,\"y\":3875505.399848014,\"z\":-123.61336583243948},{\"sort\":5,\"x\":3.949233591193395E7,\"y\":3875505.399848014,\"z\":-123.61336583243948},{\"sort\":6,\"x\":3.9492334463771366E7,\"y\":3875560.0949403667,\"z\":-129.8752750708137},{\"sort\":7,\"x\":3.9492334463771366E7,\"y\":3875560.0949403667,\"z\":-129.8752750708137},{\"sort\":8,\"x\":3.9492342442009605E7,\"y\":3875630.3006011057,\"z\":-138.79001481218836},{\"sort\":9,\"x\":3.9492342466658235E7,\"y\":3875630.5175002916,\"z\":-138.81772292050474},{\"sort\":10,\"x\":3.9492339168656275E7,\"y\":3875770.047293861,\"z\":-139.2},{\"sort\":11,\"x\":3.9492339168656275E7,\"y\":3875770.047293861,\"z\":-139.2},{\"sort\":12,\"x\":3.949233246769427E7,\"y\":3875781.138640433,\"z\":-139.2}]","startPointChangeDistance":0.0,"startPointMoveDistance":0.0,"stationId":2082704126856916993,"stationMoveDistance":0.0,"target":"724312","targetCoordinateX":3.9492229328E7,"targetCoordinateY":3875538.516,"transporPoints":"[{\"sort\":0,\"x\":3.949223688284457E7,\"y\":3875389.159969271,\"z\":-78.35501401860552},{\"sort\":1,\"x\":3.949223498009089E7,\"y\":3875462.103612356,\"z\":-63.13933076441167},{\"sort\":2,\"x\":3.949222708438274E7,\"y\":3875764.792143061,\"z\":0.0},{\"sort\":3,\"x\":3.949222708438274E7,\"y\":3875764.792143061,\"z\":0.0},{\"sort\":4,\"x\":3.9492232913406156E7,\"y\":3875778.677100249,\"z\":0.0}]","tunnelStartPointX":3.94922329134062E7,"tunnelStartPointY":3875778.67710025,"twoBaseStationCodes":null,"url":"http://172.18.51.13:9092/sys/systemConfig/groupSetting","workFaceId":"1981305872949436418","workFaceName":"13上02综采工作面","workingMode":"2"},{"baseSation":"32266","baseSationCoordinateX":2.0663070428E7,"baseSationCoordinateY":5069897.715,"companyName":"新矿集团","compensation":1600,"contacts":"position","createTime":"2026-08-04 14:19:23","createUser":null,"createUserName":"系统","designPoints":"[{\"id\":2075182312817106946,\"sort\":0,\"x\":2.0663473077953E7,\"y\":5070375.737064,\"z\":0.0},{\"id\":2075182312821301249,\"sort\":1,\"x\":2.0663449370881E7,\"y\":5070348.792211,\"z\":0.0},{\"id\":2075182312821301250,\"sort\":2,\"x\":2.0662796675627E7,\"y\":5069572.622966,\"z\":0.0}]","errorType":"ewf","faceStatus":"施工中","finishPoints":"[{\"id\":2075182229736304641,\"sort\":0,\"x\":2.0663473077953435E7,\"y\":5070375.737063777,\"z\":0.0},{\"id\":2075182229736304642,\"sort\":1,\"x\":2.0663449370881435E7,\"y\":5070348.792211201,\"z\":0.0}]","id":"2084524579814576130","isBind":1,"isDeal":0,"isSuccess":1,"orgId":"1660565261491699713","orgName":"鲁新煤矿","param":"{\"content\":[{\"mine_name\":\"鲁新煤矿\",\"company_name\":\"新矿集团\",\"mine_code\":\"152526018849\",\"company_code\":\"10048\",\"lane\":[{\"lane_type\":\"ewf\",\"wf_id\":2072151469641654274,\"lane_id\":2072151469641654274,\"lane_name\":\"11108辅运巷里段\",\"update_time\":1785824362765,\"transition\":0,\"transitionTimes\":0,\"isResetFootageKeep\":1,\"stations\":[{\"station_code\":\"32266\",\"pos_x\":\"2.0663070428E7\",\"pos_y\":\"5069897.715\"}],\"targets\":[{\"target_code\":\"\"}],\"location_label_code\":\"368853\",\"location_work_mode\":\"1\",\"compensation\":1600.0,\"finish_points\":[{\"id\":2075182229736304641,\"sort\":0,\"x\":2.0663473077953435E7,\"y\":5070375.737063777,\"z\":0.0},{\"id\":2075182229736304642,\"sort\":1,\"x\":2.0663449370881435E7,\"y\":5070348.792211201,\"z\":0.0}],\"coming_points\":[{\"id\":2075182312817106946,\"sort\":0,\"x\":2.0663473077953E7,\"y\":5070375.737064,\"z\":0.0},{\"id\":2075182312821301249,\"sort\":1,\"x\":2.0663449370881E7,\"y\":5070348.792211,\"z\":0.0},{\"id\":2075182312821301250,\"sort\":2,\"x\":2.0662796675627E7,\"y\":5069572.622966,\"z\":0.0}],\"is_delete\":\"0\",\"is_bind\":\"1\",\"driving_status\":\"施工中\"}],\"timestamp\":1785824362765}],\"type_code\":\"pos_cfg\",\"timestamp\":1785824362973}","positionLabel":"368853","preStationDistance":49.9998285752284,"remark":"设备上线（基站解绑）","removeFinishTime":"2026-08-04 10:15","removeStartTime":"2026-08-04 10:08","result":"{\"msg\":\"操作成功\",\"code\":200}","returnWindPoints":null,"startPointChangeDistance":0.0,"startPointMoveDistance":0.0,"stationId":2084463488969428993,"stationMoveDistance":49.9998285752284,"target":"","targetCoordinateX":null,"targetCoordinateY":null,"transporPoints":null,"tunnelStartPointX":2.0663473077953E7,"tunnelStartPointY":5070375.737064,"twoBaseStationCodes":null,"url":"http://172.18.51.13:9092/sys/systemConfig/groupSetting","workFaceId":"2072151469641654274","workFaceName":"11108辅运巷里段","workingMode":"1"},{"baseSation":"252","baseSationCoordinateX":3.5542679201E7,"baseSationCoordinateY":2994535.3602,"companyName":"贵州矿业","compensation":-3000,"contacts":"position","createTime":"2026-08-04 14:19:17","createUser":null,"createUserName":"系统","designPoints":null,"errorType":"mwf","faceStatus":"生产","finishPoints":null,"id":"2084524556821401602","isBind":1,"isDeal":0,"isSuccess":1,"orgId":"1660561215603146754","orgName":"绿塘煤矿","param":"{\"content\":[{\"mine_name\":\"绿塘煤矿\",\"company_name\":\"贵州矿业\",\"mine_code\":\"520521013465\",\"company_code\":\"10052\",\"timestamp\":1785824357500,\"wf\":[{\"wf_type\":\"mwf\",\"wf_id\":1997486976211939330,\"wf_name\":\"11607工作面\",\"update_time\":1785824357500,\"transition\":0,\"transitionTimes\":0,\"isResetFootageKeep\":1,\"stations\":[{\"station_code\":\"252\",\"pos_x\":\"3.5542679201E7\",\"pos_y\":\"2994535.3602\"}],\"targets\":[],\"location_label_code\":\"5002\",\"location_work_mode\":\"1\",\"compensation\":-3000.0,\"transport_chute_param\":[{\"sort\":0,\"x\":3.554294129208367E7,\"y\":2994849.0125021464,\"z\":1751.2},{\"sort\":1,\"x\":3.554279125702485E7,\"y\":2994668.0538192783,\"z\":1766.9700551418407},{\"sort\":2,\"x\":3.554238187352872E7,\"y\":2994174.292568899,\"z\":1810.0}],\"return_wind_chute_param\":[{\"sort\":0,\"x\":3.554310308583273E7,\"y\":2994762.41948858,\"z\":1822.0},{\"sort\":1,\"x\":3.55429355793428E7,\"y\":2994560.5372172073,\"z\":1822.0},{\"sort\":2,\"x\":3.554251937152854E7,\"y\":2994058.914987898,\"z\":1822.0}],\"is_delete\":\"0\",\"is_bind\":\"1\",\"mining_status\":\"生产\",\"return_wind_points\":[{\"sort\":0,\"x\":3.554310308583273E7,\"y\":2994762.41948858,\"z\":1822.0},{\"sort\":1,\"x\":3.55429355793428E7,\"y\":2994560.5372172073,\"z\":1822.0},{\"sort\":2,\"x\":3.554251937152854E7,\"y\":2994058.914987898,\"z\":1822.0}],\"transport_points\":[{\"sort\":0,\"x\":3.554294129208367E7,\"y\":2994849.0125021464,\"z\":1751.2},{\"sort\":1,\"x\":3.554279125702485E7,\"y\":2994668.0538192783,\"z\":1766.9700551418407},{\"sort\":2,\"x\":3.554238187352872E7,\"y\":2994174.292568899,\"z\":1810.0}]}]}],\"type_code\":\"pos_cfg\",\"timestamp\":1785824357500}","positionLabel":"5002","preStationDistance":39.9416248102542,"remark":"（基站解绑）","removeFinishTime":"2026-08-04 12:04","removeStartTime":"2026-08-04 11:30","result":"{\"msg\":\"操作成功\",\"code\":200}","returnWindPoints":"[{\"sort\":0,\"x\":3.554310308583273E7,\"y\":2994762.41948858,\"z\":1822.0},{\"sort\":1,\"x\":3.55429355793428E7,\"y\":2994560.5372172073,\"z\":1822.0},{\"sort\":2,\"x\":3.554251937152854E7,\"y\":2994058.914987898,\"z\":1822.0}]","startPointChangeDistance":0.0,"startPointMoveDistance":0.0,"stationId":2084502248844582913,"stationMoveDistance":39.9416248102542,"target":null,"targetCoordinateX":null,"targetCoordinateY":null,"transporPoints":"[{\"sort\":0,\"x\":3.554294129208367E7,\"y\":2994849.0125021464,\"z\":1751.2},{\"sort\":1,\"x\":3.554279125702485E7,\"y\":2994668.0538192783,\"z\":1766.9700551418407},{\"sort\":2,\"x\":3.554238187352872E7,\"y\":2994174.292568899,\"z\":1810.0}]","tunnelStartPointX":3.55423818735287E7,"tunnelStartPointY":2994174.2925689,"twoBaseStationCodes":null,"url":"http://172.18.51.13:9092/sys/systemConfig/groupSetting","workFaceId":"1997486976211939330","workFaceName":"11607工作面","workingMode":"1"},{"baseSation":"233","baseSationCoordinateX":3.5543582486E7,"baseSationCoordinateY":2994751.633,"companyName":"贵州矿业","compensation":1000,"contacts":"position","createTime":"2026-08-04 14:19:03","createUser":null,"createUserName":"系统","designPoints":"[{\"id\":2076229682986708994,\"sort\":0,\"x\":3.5543545136E7,\"y\":2994680.549,\"z\":1745.0},{\"id\":2076229682990903297,\"sort\":1,\"x\":3.554357611782E7,\"y\":2994737.91167,\"z\":1745.0},{\"id\":2076229682990903298,\"sort\":2,\"x\":3.55435831265E7,\"y\":2994753.556,\"z\":1745.0},{\"id\":2076229682990903299,\"sort\":3,\"x\":3.55436984052E7,\"y\":2994970.95,\"z\":1745.0}]","errorType":"ewf","faceStatus":"施工中","finishPoints":"[{\"id\":2076229612883779586,\"sort\":0,\"x\":3.5543545136E7,\"y\":2994680.549,\"z\":1745.0},{\"id\":2076229612883779587,\"sort\":1,\"x\":3.554357611781961E7,\"y\":2994737.911670492,\"z\":1745.0},{\"id\":2076229612883779588,\"sort\":2,\"x\":3.55435831265E7,\"y\":2994753.556,\"z\":1745.0}]","id":"2084524495890747393","isBind":1,"isDeal":0,"isSuccess":1,"orgId":"1660561215603146754","orgName":"绿塘煤矿","param":"{\"content\":[{\"mine_name\":\"绿塘煤矿\",\"company_name\":\"贵州矿业\",\"mine_code\":\"520521013465\",\"company_code\":\"10052\",\"lane\":[{\"lane_type\":\"ewf\",\"wf_id\":2061987888187645953,\"lane_id\":2061987888187645953,\"lane_name\":\"11608运输巷（新）\",\"update_time\":1785824342735,\"transition\":0,\"transitionTimes\":0,\"isResetFootageKeep\":1,\"stations\":[{\"station_code\":\"233\",\"pos_x\":\"3.5543582486E7\",\"pos_y\":\"2994751.633\"}],\"targets\":[{\"target_code\":\"\"}],\"location_label_code\":\"5027\",\"location_work_mode\":\"1\",\"compensation\":1000.0,\"finish_points\":[{\"id\":2076229612883779586,\"sort\":0,\"x\":3.5543545136E7,\"y\":2994680.549,\"z\":1745.0},{\"id\":2076229612883779587,\"sort\":1,\"x\":3.554357611781961E7,\"y\":2994737.911670492,\"z\":1745.0},{\"id\":2076229612883779588,\"sort\":2,\"x\":3.55435831265E7,\"y\":2994753.556,\"z\":1745.0}],\"coming_points\":[{\"id\":2076229682986708994,\"sort\":0,\"x\":3.5543545136E7,\"y\":2994680.549,\"z\":1745.0},{\"id\":2076229682990903297,\"sort\":1,\"x\":3.554357611782E7,\"y\":2994737.91167,\"z\":1745.0},{\"id\":2076229682990903298,\"sort\":2,\"x\":3.55435831265E7,\"y\":2994753.556,\"z\":1745.0},{\"id\":2076229682990903299,\"sort\":3,\"x\":3.55436984052E7,\"y\":2994970.95,\"z\":1745.0}],\"is_delete\":\"0\",\"is_bind\":\"1\",\"driving_status\":\"施工中\"}],\"timestamp\":1785824342735}],\"type_code\":\"pos_cfg\",\"timestamp\":1785824342966}","positionLabel":"5027","preStationDistance":0.0,"remark":"（基站解绑）","removeFinishTime":"2026-07-16 11:12","removeStartTime":"2026-07-16 10:12","result":"{\"msg\":\"操作成功\",\"code\":200}","returnWindPoints":null,"startPointChangeDistance":0.0,"startPointMoveDistance":0.0,"stationId":2084187065429434370,"stationMov</t>
  </si>
  <si>
    <t>"code":200,"msg":"查询成功"</t>
  </si>
  <si>
    <t>{"total":"485","rows":[{"num":null,"deptId":"10040","deptName":"兖矿能源","orgId":"140723008747","orgName":"天池能源","faceNo":"1559099648690463660","faceName":"61505综采工作面","faceStatus":"设计","configTime":null,"isBind":null,"planProductDate":"2026-06-01","actualProductDate":null,"workableLength":"1636.00","tiltLength":"0.00","planEndDate":"2028-01-25","actualEndDate":null,"recoverableReserve":"195.00","remainingReserves":null,"trendLength":"1636.00","dipAngle":"7.00","mineTechnology":"综采","circulateFootage":"0.80","seamThick":"4.80","mineHeight":"4.80","rockBurst":"否","faceIntelligence":"是","normalCirculateNum":"4.0","unitWeight":"1.48","coalVariety":"贫煤","teamName":"综采工区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100,"coalSeam":"15煤","faceLength":"1636.00","averageCoalDischargeHeight":"0.00","circulateYield":"0.00","productionBase":null,"footageBase":null,"startTimeFootageBase":null,"endTimeFootageBase":null,"footageExcavatedLength":"0","transition":null,"transitionTimes":null,"onlineShouchiYanchiJl":null,"onlineShouchiYanchiSj":null,"technologyId":"453931518616674373","isDelete":"0","createTime":"2026-07-17 14:59:36","updateTime":"2026-08-04 14:10:31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null,"footageExcavatedLengthJs":null,"photoId":null,"ydFaceUpdateTime":1782347302000},{"num":null,"deptId":"10040","deptName":"兖矿能源","orgId":"140723008747","orgName":"天池能源","faceNo":"1559099736204616620","faceName":"61506综采工作面","faceStatus":"生产","configTime":"2025-03-07","isBind":null,"planProductDate":"2025-03-07","actualProductDate":"2025-03-07","workableLength":"1258.00","tiltLength":"180.231","planEndDate":"2026-06-30","actualEndDate":null,"recoverableReserve":"173.58","remainingReserves":null,"trendLength":"1258.00","dipAngle":"7.00","mineTechnology":"综采","circulateFootage":"0.80","seamThick":"4.80","mineHeight":"4.50","rockBurst":"否","faceIntelligence":"是","normalCirculateNum":"4.0","unitWeight":"0.00","coalVariety":"贫煤","teamName":"综采工区","compensation":-4800,"compensation1":null,"workingMode":"1","baseSation":"30","twoBaseStationCodes":null,"baseSationCoordinateX":"38453364.201","baseSationCoordinateY":"4126474.731","target":"","targetCoordinateX":null,"targetCoordinateY":null,"positionLabel":"3535","datumPointX":null,"datumPointY":null,"coordinateSystem":1,"coordinateSystemName":null,"remark":null,"faceType":"mwf","personNum":69,"coalSeam":"15煤","faceLength":"1258.00","averageCoalDischargeHeight":"0.00","circulateYield":"0.00","productionBase":null,"footageBase":null,"startTimeFootageBase":null,"endTimeFootageBase":"2026-06-30","footageExcavatedLength":"0.60","transition":null,"transitionTimes":null,"onlineShouchiYanchiJl":null,"onlineShouchiYanchiSj":null,"technologyId":"453931445983911941","isDelete":"0","createTime":"2025-02-09 10:11:18","updateTime":"2026-08-04 14:10:36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"0.0","footageExcavatedLengthJs":null,"photoId":null,"ydFaceUpdateTime":1784019265000},{"num":null,"deptId":"10040","deptName":"兖矿能源","orgId":"140723008747","orgName":"天池能源","faceNo":"1668443816934350850","faceName":"61503工作面","faceStatus":"停采","configTime":"2023-06-29","isBind":null,"planProductDate":"2023-04-06","actualProductDate":"2023-04-06","workableLength":"1562.60","tiltLength":"181.50","planEndDate":"2025-03-10","actualEndDate":"2025-03-07","recoverableReserve":"233.89","remainingReserves":null,"trendLength":"1562.60","dipAngle":"4.00","mineTechnology":"综采","circulateFootage":"0.80","seamThick":"3.85","mineHeight":"4.50","rockBurst":"否","faceIntelligence":"是","normalCirculateNum":"4.0","unitWeight":"1480.00","coalVariety":"贫瘦煤","teamName":"综采工区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25,"coalSeam":"15煤","faceLength":"1562.60","averageCoalDischargeHeight":"-0.65","circulateYield":"0.097","productionBase":null,"footageBase":null,"startTimeFootageBase":null,"endTimeFootageBase":"2025-02-28","footageExcavatedLength":"213.05","transition":null,"transitionTimes":null,"onlineShouchiYanchiJl":null,"onlineShouchiYanchiSj":null,"technologyId":"1643170198241730564","isDelete":"0","createTime":"2023-11-23 20:45:37","updateTime":"2025-04-02 14:48:04","technologyJson":null,"isStayEmpty":null,"totalYield":null,"todayYieldActual":null,"todayYieldPlan":null,"totalFootage":null,"todayFootagePlan":null,"todayFootageActual":null,"lastReportDate":null,"finishLength":null,"allActualJs":null,"allActualTb":null,"allActualCz":null,"onLineStatus":"1","preStationDistance":null,"footageExcavatedLengthJs":null,"photoId":null,"ydFaceUpdateTime":null},{"num":null,"deptId":"10040","deptName":"兖矿能源","orgId":"150626013454","orgName":"营盘壕煤矿","faceNo":"1511619387554848770","faceName":"2104综放工作面","faceStatus":"生产","configTime":"2026-03-23","isBind":null,"planProductDate":"2026-04-01","actualProductDate":"2026-03-21","workableLength":"2259.751","tiltLength":"422.949","planEndDate":"2027-12-31","actualEndDate":null,"recoverableReserve":"846.50","remainingReserves":null,"trendLength":"2262.00","dipAngle":"3.00","mineTechnology":"综放","circulateFootage":"0.80","seamThick":"6.75","mineHeight":"4.50","rockBurst":"是","faceIntelligence":"是","normalCirculateNum":"7.5","unitWeight":"1.32","coalVariety":" ","teamName":"综采工区一队","compensation":-6000,"compensation1":null,"workingMode":"1","baseSation":"71576","twoBaseStationCodes":null,"baseSationCoordinateX":"36580276.85","baseSationCoordinateY":"4259091.631","target":"","targetCoordinateX":null,"targetCoordinateY":null,"positionLabel":"724248","datumPointX":null,"datumPointY":null,"coordinateSystem":1,"coordinateSystemName":null,"remark":null,"faceType":"mwf","personNum":116,"coalSeam":"2-2煤","faceLength":"2259.751","averageCoalDischargeHeight":"0.00","circulateYield":"0.00","productionBase":null,"footageBase":null,"startTimeFootageBase":null,"endTimeFootageBase":"2026-06-30","footageExcavatedLength":"-1.76","transition":null,"transitionTimes":null,"onlineShouchiYanchiJl":null,"onlineShouchiYanchiSj":null,"technologyId":"453907354321166277","isDelete":"0","createTime":"2026-06-10 15:16:21","updateTime":"2026-08-04 13:44:56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0","preStationDistance":"0.0","footageExcavatedLengthJs":null,"photoId":null,"ydFaceUpdateTime":1783256340000},{"num":null,"deptId":"10040","deptName":"兖矿能源","orgId":"150626013454","orgName":"营盘壕煤矿","faceNo":"1511618959773589506","faceName":"2202综放工作面","faceStatus":"生产","configTime":"2024-12-08","isBind":null,"planProductDate":"2024-12-07","actualProductDate":"2024-12-07","workableLength":"2679.219","tiltLength":"420.138","planEndDate":"2026-03-07","actualEndDate":null,"recoverableReserve":"867.60","remainingReserves":null,"trendLength":"0.00","dipAngle":"3.00","mineTechnology":"综放","circulateFootage":"0.80","seamThick":"6.49","mineHeight":"4.50","rockBurst":"是","faceIntelligence":"是","normalCirculateNum":"10.0","unitWeight":"1320.00","coalVariety":" ","teamName":"综采工区二队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0,"coalSeam":"2-2煤","faceLength":"2679.219","averageCoalDischargeHeight":"0.00","circulateYield":"0.00","productionBase":null,"footageBase":null,"startTimeFootageBase":null,"endTimeFootageBase":"2025-10-31","footageExcavatedLength":"1.06","transition":null,"transitionTimes":null,"onlineShouchiYanchiJl":null,"onlineShouchiYanchiSj":null,"technologyId":"453848019574464453","isDelete":"0","createTime":"2024-12-07 16:29:51","updateTime":"2026-04-08 15:03:05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null,"footageExcavatedLengthJs":null,"photoId":null,"ydFaceUpdateTime":null},{"num":null,"deptId":"10040","deptName":"兖矿能源","orgId":"150626013454","orgName":"营盘壕煤矿","faceNo":"1675036938996883457","faceName":"2102工作面","faceStatus":"暂停","configTime":"2023-07-01","isBind":null,"planProductDate":"2023-06-18","actualProductDate":"2023-06-18","workableLength":"2619.975","tiltLength":"332.476","planEndDate":"2025-02-20","actualEndDate":null,"recoverableReserve":"660.80","remainingReserves":null,"trendLength":"2614.00","dipAngle":"0.00","mineTechnology":"综采放顶煤","circulateFootage":"0.80","seamThick":"6.29","mineHeight":"4.50","rockBurst":"是","faceIntelligence":"是","normalCirculateNum":"7.0","unitWeight":"1.32","coalVariety":"长烟煤","teamName":"综采工区一队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72,"coalSeam":"2-2煤","faceLength":"2619.975","averageCoalDischargeHeight":"1.79","circulateYield":"0.225","productionBase":null,"footageBase":null,"startTimeFootageBase":null,"endTimeFootageBase":"2024-12-01","footageExcavatedLength":"416.18","transition":null,"transitionTimes":null,"onlineShouchiYanchiJl":null,"onlineShouchiYanchiSj":null,"technologyId":"1664181449533747211","isDelete":"0","createTime":"2024-01-08 10:40:53","updateTime":"2026-08-04 13:44:51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"-29.9996289921723","footageExcavatedLengthJs":null,"photoId":null,"ydFaceUpdateTime":1779587302000},{"num":null,"deptId":"10040","deptName":"兖矿能源","orgId":"150626013454","orgName":"营盘壕煤矿","faceNo":"1663719626977116162","faceName":"2201工作面","faceStatus":"暂停","configTime":"2023-06-01","isBind":null,"planProductDate":"2019-12-20","actualProductDate":"2019-12-20","workableLength":"3876.00","tiltLength":"300.00","planEndDate":"2024-07-20","actualEndDate":null,"recoverableReserve":"933.00","remainingReserves":null,"trendLength":"3876.00","dipAngle":"0.00","mineTechnology":"综采","circulateFootage":"0.80","seamThick":"6.29","mineHeight":"6.00","rockBurst":"是","faceIntelligence":"否","normalCirculateNum":"7.0","unitWeight":"39.403","coalVariety":"弱粘煤","teamName":"综采工区二队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73,"coalSeam":"2-2煤","faceLength":"3876.00","averageCoalDischargeHeight":"0.29","circulateYield":"0.181","productionBase":null,"footageBase":null,"startTimeFootageBase":null,"endTimeFootageBase":"2023-09-30","footageExcavatedLength":"1808.58","transition":null,"transitionTimes":null,"onlineShouchiYanchiJl":null,"onlineShouchiYanchiSj":null,"technologyId":"1531870248611897421","isDelete":"0","createTime":"2023-11-22 17:04:17","updateTime":"2024-12-06 13:57:54","technologyJson":null,"isStayEmpty":null,"totalYield":null,"todayYieldActual":null,"todayYieldPlan":null,"totalFootage":null,"todayFootagePlan":null,"todayFootageActual":null,"lastReportDate":null,"finishLength":null,"allActualJs":null,"allActualTb":null,"allActualCz":null,"onLineStatus":"1","preStationDistance":null,"footageExcavatedLengthJs":null,"photoId":null,"ydFaceUpdateTime":null},{"num":null,"deptId":"10040","deptName":"兖矿能源","orgId":"150627003943","orgName":"石拉乌素煤矿","faceNo":"2076141326869164033","faceName":"12中01综采工作面","faceStatus":"生产","configTime":"2026-07-13","isBind":null,"planProductDate":"2026-07-10","actualProductDate":"2026-07-10","workableLength":"791.00","tiltLength":"450.00","planEndDate":"2026-09-30","actualEndDate":null,"recoverableReserve":"0.00","remainingReserves":null,"trendLength":"791.00","dipAngle":"0.00","mineTechnology":"综采","circulateFootage":"0.00","seamThick":"0.00","mineHeight":"0.00","rockBurst":"否","faceIntelligence":"否","normalCirculateNum":"0.0","unitWeight":"0.00","coalVariety":" ","teamName":"","compensation":-6800,"compensation1":null,"workingMode":"1","baseSation":"2596","twoBaseStationCodes":null,"baseSationCoordinateX":"19382355.705","baseSationCoordinateY":"4322374.934","target":"","targetCoordinateX":null,"targetCoordinateY":null,"positionLabel":"9986","datumPointX":null,"datumPointY":null,"coordinateSystem":1,"coordinateSystemName":null,"remark":null,"faceType":"mwf","personNum":0,"coalSeam":"2-2中","faceLength":"791.00","averageCoalDischargeHeight":"0.00","circulateYield":"0.00","productionBase":null,"footageBase":null,"startTimeFootageBase":null,"endTimeFootageBase":null,"footageExcavatedLength":"24.90","transition":null,"transitionTimes":null,"onlineShouchiYanchiJl":null,"onlineShouchiYanchiSj":null,"technologyId":"453255036651183877","isDelete":"0","createTime":"2026-07-17 14:58:34","updateTime":"2026-08-04 14:09:26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0","preStationDistance":"42.3899999996647","footageExcavatedLengthJs":null,"photoId":null,"ydFaceUpdateTime":1783907600000},{"num":null,"deptId":"10040","deptName":"兖矿能源","orgId":"150627003943","orgName":"石拉乌素煤矿","faceNo":"1701842893808402434","faceName":"1203综采工作面","faceStatus":"停采","configTime":"2025-11-04","isBind":null,"planProductDate":"2020-06-01","actualProductDate":"2020-06-01","workableLength":"2386.537","tiltLength":"288.412","planEndDate":"2026-07-31","actualEndDate":"2026-07-10","recoverableReserve":"0.00","remainingReserves":null,"trendLength":"2375.101","dipAngle":"0.00","mineTechnology":"综采","circulateFootage":"0.80","seamThick":"5.80","mineHeight":"4.50","rockBurst":"是","faceIntelligence":"是","normalCirculateNum":"6.0","unitWeight":"0.00","coalVariety":"不粘煤","teamName":"综采工区一队","compensation":0,"compensation1":null,"workingMode":null,"baseSation":null,"twoBaseStationCodes":null,"baseSationCoordinateX":null,"baseSationCoordinateY":null,"target":null,"targetCoordinateX":null,"targetCoordinateY":null,"positionLabel":null,"datumPointX":null,"datumPointY":null,"coordinateSystem":null,"coordinateSystemName":null,"remark":null,"faceType":"mwf","personNum":0,"coalSeam":"2-2上","faceLength":"2386.537","averageCoalDischargeHeight":"0.00","circulateYield":"0.00","productionBase":null,"footageBase":null,"startTimeFootageBase":null,"endTimeFootageBase":"2026-07-01","footageExcavatedLength":"1515.40","transition":null,"transitionTimes":null,"onlineShouchiYanchiJl":null,"onlineShouchiYanchiSj":null,"technologyId":"750239319331007941","isDelete":"0","createTime":"2025-11-03 16:19:46","updateTime":"2026-08-04 11:35:38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null,"footageExcavatedLengthJs":null,"photoId":null,"ydFaceUpdateTime":1783678046000},{"num":null,"deptId":"10040","deptName":"兖矿能源","orgId":"150627003943","orgName":"石拉乌素煤矿","faceNo":"1747885352619147266","faceName":"1210综放工作面","faceStatus":"生产","configTime":"2024-01-18","isBind":null,"planProductDate":"2023-07-01","actualProductDate":"2024-01-14","workableLength":"3049.00","tiltLength":"289.768","planEndDate":"2025-12-31","actualEndDate":null,"recoverableReserve":"926.11","remainingReserves":null,"trendLength":"3240.00","dipAngle":"2.00","mineTechnology":"综放","circulateFootage":"0.80","seamThick":"3.92","mineHeight":"4.50","rockBurst":"是","faceIntelligence":"是","normalCirculateNum":"8.0","unitWeight":"0.00","coalVariety":"不粘煤","teamName":"综采工区一队","compensation":-6400,"compensation1":null,"workingMode":"1","baseSation":"2627","twoBaseStationCodes":null,"baseSationCoordinateX":"19383094.967","baseSationCoordinateY":"4320835.822","target":"","targetCoordinateX":null,"targetCoordinateY":null,"positionLabel":"9795","datumPointX":null,"datumPointY":null,"coordinateSystem":1,"coordinateSystemName":null,"remark":null,"faceType":"mwf","personNum":0,"coalSeam":"2-2中","faceLength":"3049.00","averageCoalDischargeHeight":"-0.58","circulateYield":"1217.268","productionBase":null,"footageBase":null,"startTimeFootageBase":null,"endTimeFootageBase":"2026-07-01","footageExcavatedLength":"1.22","transition":null,"transitionTimes":null,"onlineShouchiYanchiJl":null,"onlineShouchiYanchiSj":null,"technologyId":"453128724238311045","isDelete":"0","createTime":"2024-01-18 15:38:36","updateTime":"2026-08-04 14:09:21","technologyJson":null,"isStayEmpty":0,"totalYield":null,"todayYieldActual":null,"todayYieldPlan":null,"totalFootage":null,"todayFootagePlan":null,"todayFootageActual":null,"lastReportDate":null,"finishLength":null,"allActualJs":null,"allActualTb":null,"allActualCz":null,"onLineStatus":"1","preStationDistance":"95.0399995917674","footageExcavatedLengthJs":null,"photoId":null,"ydFaceUpdateTime":1783133486000}],"code":200,"msg":"查询成功","msgRemark":null}</t>
  </si>
  <si>
    <t>{"code":200,"data":{"current":1,"hitCount":false,"optimizeCountSql":true,"orders":[],"pages":0,"records":[],"searchCount":true,"size":10,"total":0},"msg":"操作成功","success":true}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</si>
</sst>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D6E5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4D3"/>
      </left>
      <right style="thin">
        <color rgb="FFB7C4D3"/>
      </right>
      <top style="thin">
        <color rgb="FFB7C4D3"/>
      </top>
      <bottom style="thin">
        <color rgb="FFB7C4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0" xfId="0" applyFont="1" applyFill="1"/>
    <xf numFmtId="0" fontId="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0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5"/>
  <sheetViews>
    <sheetView showGridLines="0" tabSelected="1" workbookViewId="0">
      <pane ySplit="6" topLeftCell="A8" activePane="bottomLeft" state="frozen"/>
      <selection/>
      <selection pane="bottomLeft" activeCell="F13" sqref="F13"/>
    </sheetView>
  </sheetViews>
  <sheetFormatPr defaultColWidth="9" defaultRowHeight="22" customHeight="1"/>
  <cols>
    <col min="1" max="1" width="8" customWidth="1"/>
    <col min="2" max="4" width="15" customWidth="1"/>
    <col min="5" max="5" width="24" customWidth="1"/>
    <col min="6" max="6" width="11" customWidth="1"/>
    <col min="7" max="7" width="28" customWidth="1"/>
    <col min="8" max="8" width="32" customWidth="1"/>
    <col min="9" max="9" width="26" customWidth="1"/>
    <col min="10" max="10" width="34" customWidth="1"/>
    <col min="11" max="11" width="12" customWidth="1"/>
    <col min="12" max="12" width="38" customWidth="1"/>
    <col min="13" max="15" width="12" customWidth="1"/>
    <col min="16" max="16" width="34" customWidth="1"/>
  </cols>
  <sheetData>
    <row r="1" ht="32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4">
      <c r="A2" s="6" t="s">
        <v>1</v>
      </c>
      <c r="B2" s="6"/>
      <c r="C2" s="7" t="s">
        <v>2</v>
      </c>
      <c r="D2" s="7"/>
    </row>
    <row r="3" spans="1:12">
      <c r="A3" s="8" t="s">
        <v>3</v>
      </c>
      <c r="B3" s="8">
        <f>COUNTA(A7:A75)</f>
        <v>69</v>
      </c>
      <c r="C3" s="9" t="s">
        <v>4</v>
      </c>
      <c r="D3" s="9">
        <f>COUNTIF(M7:M75,"通过")</f>
        <v>69</v>
      </c>
      <c r="E3" s="10" t="s">
        <v>5</v>
      </c>
      <c r="F3" s="10">
        <f>COUNTIF(M7:M75,"失败")</f>
        <v>0</v>
      </c>
      <c r="G3" s="11" t="s">
        <v>6</v>
      </c>
      <c r="H3" s="11">
        <f>COUNTIF(M7:M75,"跳过")</f>
        <v>0</v>
      </c>
      <c r="I3" s="14" t="s">
        <v>7</v>
      </c>
      <c r="J3" s="15">
        <f>IF(B3=0,0,D3/B3)</f>
        <v>1</v>
      </c>
      <c r="K3" s="16" t="s">
        <v>8</v>
      </c>
      <c r="L3" s="16" t="s">
        <v>9</v>
      </c>
    </row>
    <row r="5" ht="14.25" spans="1:16">
      <c r="A5" s="12" t="s">
        <v>10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30" customHeight="1" spans="1:1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26</v>
      </c>
    </row>
    <row r="7" ht="58" customHeight="1" spans="1:16">
      <c r="A7" s="13">
        <v>1</v>
      </c>
      <c r="B7" s="4" t="s">
        <v>27</v>
      </c>
      <c r="C7" s="4" t="s">
        <v>27</v>
      </c>
      <c r="D7" s="4" t="s">
        <v>27</v>
      </c>
      <c r="E7" s="4" t="s">
        <v>28</v>
      </c>
      <c r="F7" s="13" t="s">
        <v>29</v>
      </c>
      <c r="G7" s="4" t="s">
        <v>30</v>
      </c>
      <c r="H7" s="4" t="s">
        <v>31</v>
      </c>
      <c r="I7" s="4" t="s">
        <v>32</v>
      </c>
      <c r="J7" s="4" t="s">
        <v>27</v>
      </c>
      <c r="K7" s="13">
        <v>10000</v>
      </c>
      <c r="L7" s="4" t="s">
        <v>33</v>
      </c>
      <c r="M7" s="9" t="s">
        <v>4</v>
      </c>
      <c r="N7" s="13">
        <v>200</v>
      </c>
      <c r="O7" s="13">
        <v>247</v>
      </c>
      <c r="P7" s="4" t="s">
        <v>34</v>
      </c>
    </row>
    <row r="8" ht="58" customHeight="1" spans="1:16">
      <c r="A8" s="13">
        <v>2</v>
      </c>
      <c r="B8" s="4" t="s">
        <v>35</v>
      </c>
      <c r="C8" s="4" t="s">
        <v>27</v>
      </c>
      <c r="D8" s="4" t="s">
        <v>27</v>
      </c>
      <c r="E8" s="4" t="s">
        <v>36</v>
      </c>
      <c r="F8" s="13" t="s">
        <v>37</v>
      </c>
      <c r="G8" s="4" t="s">
        <v>38</v>
      </c>
      <c r="H8" s="4" t="s">
        <v>39</v>
      </c>
      <c r="I8" s="4" t="s">
        <v>40</v>
      </c>
      <c r="J8" s="4" t="s">
        <v>27</v>
      </c>
      <c r="K8" s="13">
        <v>10000</v>
      </c>
      <c r="L8" s="4" t="s">
        <v>41</v>
      </c>
      <c r="M8" s="9" t="s">
        <v>4</v>
      </c>
      <c r="N8" s="13">
        <v>200</v>
      </c>
      <c r="O8" s="13">
        <v>67</v>
      </c>
      <c r="P8" s="4" t="s">
        <v>27</v>
      </c>
    </row>
    <row r="9" ht="58" customHeight="1" spans="1:16">
      <c r="A9" s="13">
        <v>3</v>
      </c>
      <c r="B9" s="4" t="s">
        <v>35</v>
      </c>
      <c r="C9" s="4" t="s">
        <v>27</v>
      </c>
      <c r="D9" s="4" t="s">
        <v>27</v>
      </c>
      <c r="E9" s="4" t="s">
        <v>42</v>
      </c>
      <c r="F9" s="13" t="s">
        <v>37</v>
      </c>
      <c r="G9" s="4" t="s">
        <v>43</v>
      </c>
      <c r="H9" s="4" t="s">
        <v>39</v>
      </c>
      <c r="I9" s="4" t="s">
        <v>27</v>
      </c>
      <c r="J9" s="4" t="s">
        <v>27</v>
      </c>
      <c r="K9" s="13">
        <v>10000</v>
      </c>
      <c r="L9" s="4" t="s">
        <v>41</v>
      </c>
      <c r="M9" s="9" t="s">
        <v>4</v>
      </c>
      <c r="N9" s="13">
        <v>200</v>
      </c>
      <c r="O9" s="13">
        <v>99</v>
      </c>
      <c r="P9" s="4" t="s">
        <v>27</v>
      </c>
    </row>
    <row r="10" ht="58" customHeight="1" spans="1:16">
      <c r="A10" s="13">
        <v>4</v>
      </c>
      <c r="B10" s="4" t="s">
        <v>35</v>
      </c>
      <c r="C10" s="4" t="s">
        <v>27</v>
      </c>
      <c r="D10" s="4" t="s">
        <v>27</v>
      </c>
      <c r="E10" s="4" t="s">
        <v>44</v>
      </c>
      <c r="F10" s="13" t="s">
        <v>37</v>
      </c>
      <c r="G10" s="4" t="s">
        <v>45</v>
      </c>
      <c r="H10" s="4" t="s">
        <v>39</v>
      </c>
      <c r="I10" s="4" t="s">
        <v>46</v>
      </c>
      <c r="J10" s="4" t="s">
        <v>27</v>
      </c>
      <c r="K10" s="13">
        <v>10000</v>
      </c>
      <c r="L10" s="4" t="s">
        <v>41</v>
      </c>
      <c r="M10" s="9" t="s">
        <v>4</v>
      </c>
      <c r="N10" s="13">
        <v>200</v>
      </c>
      <c r="O10" s="13">
        <v>408</v>
      </c>
      <c r="P10" s="4" t="s">
        <v>27</v>
      </c>
    </row>
    <row r="11" ht="58" customHeight="1" spans="1:16">
      <c r="A11" s="13">
        <v>5</v>
      </c>
      <c r="B11" s="4" t="s">
        <v>35</v>
      </c>
      <c r="C11" s="4" t="s">
        <v>27</v>
      </c>
      <c r="D11" s="4" t="s">
        <v>27</v>
      </c>
      <c r="E11" s="4" t="s">
        <v>47</v>
      </c>
      <c r="F11" s="13" t="s">
        <v>37</v>
      </c>
      <c r="G11" s="4" t="s">
        <v>48</v>
      </c>
      <c r="H11" s="4" t="s">
        <v>39</v>
      </c>
      <c r="I11" s="4" t="s">
        <v>49</v>
      </c>
      <c r="J11" s="4" t="s">
        <v>27</v>
      </c>
      <c r="K11" s="13">
        <v>10000</v>
      </c>
      <c r="L11" s="4" t="s">
        <v>41</v>
      </c>
      <c r="M11" s="9" t="s">
        <v>4</v>
      </c>
      <c r="N11" s="13">
        <v>200</v>
      </c>
      <c r="O11" s="13">
        <v>67</v>
      </c>
      <c r="P11" s="4" t="s">
        <v>27</v>
      </c>
    </row>
    <row r="12" ht="58" customHeight="1" spans="1:16">
      <c r="A12" s="13">
        <v>6</v>
      </c>
      <c r="B12" s="4" t="s">
        <v>35</v>
      </c>
      <c r="C12" s="4" t="s">
        <v>27</v>
      </c>
      <c r="D12" s="4" t="s">
        <v>27</v>
      </c>
      <c r="E12" s="4" t="s">
        <v>50</v>
      </c>
      <c r="F12" s="13" t="s">
        <v>37</v>
      </c>
      <c r="G12" s="4" t="s">
        <v>51</v>
      </c>
      <c r="H12" s="4" t="s">
        <v>39</v>
      </c>
      <c r="I12" s="4" t="s">
        <v>52</v>
      </c>
      <c r="J12" s="4" t="s">
        <v>27</v>
      </c>
      <c r="K12" s="13">
        <v>10000</v>
      </c>
      <c r="L12" s="4" t="s">
        <v>41</v>
      </c>
      <c r="M12" s="9" t="s">
        <v>4</v>
      </c>
      <c r="N12" s="13">
        <v>200</v>
      </c>
      <c r="O12" s="13">
        <v>75</v>
      </c>
      <c r="P12" s="4" t="s">
        <v>27</v>
      </c>
    </row>
    <row r="13" ht="58" customHeight="1" spans="1:16">
      <c r="A13" s="13">
        <v>7</v>
      </c>
      <c r="B13" s="4" t="s">
        <v>35</v>
      </c>
      <c r="C13" s="4" t="s">
        <v>27</v>
      </c>
      <c r="D13" s="4" t="s">
        <v>27</v>
      </c>
      <c r="E13" s="4" t="s">
        <v>53</v>
      </c>
      <c r="F13" s="13" t="s">
        <v>37</v>
      </c>
      <c r="G13" s="4" t="s">
        <v>54</v>
      </c>
      <c r="H13" s="4" t="s">
        <v>39</v>
      </c>
      <c r="I13" s="4" t="s">
        <v>55</v>
      </c>
      <c r="J13" s="4" t="s">
        <v>27</v>
      </c>
      <c r="K13" s="13">
        <v>10000</v>
      </c>
      <c r="L13" s="4" t="s">
        <v>41</v>
      </c>
      <c r="M13" s="9" t="s">
        <v>4</v>
      </c>
      <c r="N13" s="13">
        <v>200</v>
      </c>
      <c r="O13" s="13">
        <v>134</v>
      </c>
      <c r="P13" s="4" t="s">
        <v>27</v>
      </c>
    </row>
    <row r="14" ht="58" customHeight="1" spans="1:16">
      <c r="A14" s="13">
        <v>8</v>
      </c>
      <c r="B14" s="4" t="s">
        <v>35</v>
      </c>
      <c r="C14" s="4" t="s">
        <v>27</v>
      </c>
      <c r="D14" s="4" t="s">
        <v>27</v>
      </c>
      <c r="E14" s="4" t="s">
        <v>56</v>
      </c>
      <c r="F14" s="13" t="s">
        <v>37</v>
      </c>
      <c r="G14" s="4" t="s">
        <v>57</v>
      </c>
      <c r="H14" s="4" t="s">
        <v>39</v>
      </c>
      <c r="I14" s="4" t="s">
        <v>58</v>
      </c>
      <c r="J14" s="4" t="s">
        <v>27</v>
      </c>
      <c r="K14" s="13">
        <v>10000</v>
      </c>
      <c r="L14" s="4" t="s">
        <v>59</v>
      </c>
      <c r="M14" s="9" t="s">
        <v>4</v>
      </c>
      <c r="N14" s="13">
        <v>200</v>
      </c>
      <c r="O14" s="13">
        <v>96</v>
      </c>
      <c r="P14" s="4" t="s">
        <v>27</v>
      </c>
    </row>
    <row r="15" ht="58" customHeight="1" spans="1:16">
      <c r="A15" s="13">
        <v>9</v>
      </c>
      <c r="B15" s="4" t="s">
        <v>35</v>
      </c>
      <c r="C15" s="4" t="s">
        <v>27</v>
      </c>
      <c r="D15" s="4" t="s">
        <v>27</v>
      </c>
      <c r="E15" s="4" t="s">
        <v>60</v>
      </c>
      <c r="F15" s="13" t="s">
        <v>37</v>
      </c>
      <c r="G15" s="4" t="s">
        <v>61</v>
      </c>
      <c r="H15" s="4" t="s">
        <v>39</v>
      </c>
      <c r="I15" s="4" t="s">
        <v>62</v>
      </c>
      <c r="J15" s="4" t="s">
        <v>27</v>
      </c>
      <c r="K15" s="13">
        <v>10000</v>
      </c>
      <c r="L15" s="4" t="s">
        <v>41</v>
      </c>
      <c r="M15" s="9" t="s">
        <v>4</v>
      </c>
      <c r="N15" s="13">
        <v>200</v>
      </c>
      <c r="O15" s="13">
        <v>61</v>
      </c>
      <c r="P15" s="4" t="s">
        <v>27</v>
      </c>
    </row>
    <row r="16" ht="58" customHeight="1" spans="1:16">
      <c r="A16" s="13">
        <v>10</v>
      </c>
      <c r="B16" s="4" t="s">
        <v>35</v>
      </c>
      <c r="C16" s="4" t="s">
        <v>27</v>
      </c>
      <c r="D16" s="4" t="s">
        <v>27</v>
      </c>
      <c r="E16" s="4" t="s">
        <v>63</v>
      </c>
      <c r="F16" s="13" t="s">
        <v>37</v>
      </c>
      <c r="G16" s="4" t="s">
        <v>64</v>
      </c>
      <c r="H16" s="4" t="s">
        <v>39</v>
      </c>
      <c r="I16" s="4" t="s">
        <v>62</v>
      </c>
      <c r="J16" s="4" t="s">
        <v>27</v>
      </c>
      <c r="K16" s="13">
        <v>10000</v>
      </c>
      <c r="L16" s="4" t="s">
        <v>41</v>
      </c>
      <c r="M16" s="9" t="s">
        <v>4</v>
      </c>
      <c r="N16" s="13">
        <v>200</v>
      </c>
      <c r="O16" s="13">
        <v>59</v>
      </c>
      <c r="P16" s="4" t="s">
        <v>27</v>
      </c>
    </row>
    <row r="17" ht="58" customHeight="1" spans="1:16">
      <c r="A17" s="13">
        <v>11</v>
      </c>
      <c r="B17" s="4" t="s">
        <v>35</v>
      </c>
      <c r="C17" s="4" t="s">
        <v>27</v>
      </c>
      <c r="D17" s="4" t="s">
        <v>27</v>
      </c>
      <c r="E17" s="4" t="s">
        <v>65</v>
      </c>
      <c r="F17" s="13" t="s">
        <v>37</v>
      </c>
      <c r="G17" s="4" t="s">
        <v>66</v>
      </c>
      <c r="H17" s="4" t="s">
        <v>39</v>
      </c>
      <c r="I17" s="4" t="s">
        <v>27</v>
      </c>
      <c r="J17" s="4" t="s">
        <v>27</v>
      </c>
      <c r="K17" s="13">
        <v>10000</v>
      </c>
      <c r="L17" s="4" t="s">
        <v>41</v>
      </c>
      <c r="M17" s="9" t="s">
        <v>4</v>
      </c>
      <c r="N17" s="13">
        <v>200</v>
      </c>
      <c r="O17" s="13">
        <v>80</v>
      </c>
      <c r="P17" s="4" t="s">
        <v>27</v>
      </c>
    </row>
    <row r="18" ht="58" customHeight="1" spans="1:16">
      <c r="A18" s="13">
        <v>12</v>
      </c>
      <c r="B18" s="4" t="s">
        <v>35</v>
      </c>
      <c r="C18" s="4" t="s">
        <v>27</v>
      </c>
      <c r="D18" s="4" t="s">
        <v>27</v>
      </c>
      <c r="E18" s="4" t="s">
        <v>67</v>
      </c>
      <c r="F18" s="13" t="s">
        <v>37</v>
      </c>
      <c r="G18" s="4" t="s">
        <v>68</v>
      </c>
      <c r="H18" s="4" t="s">
        <v>39</v>
      </c>
      <c r="I18" s="4" t="s">
        <v>69</v>
      </c>
      <c r="J18" s="4" t="s">
        <v>27</v>
      </c>
      <c r="K18" s="13">
        <v>10000</v>
      </c>
      <c r="L18" s="4" t="s">
        <v>41</v>
      </c>
      <c r="M18" s="9" t="s">
        <v>4</v>
      </c>
      <c r="N18" s="13">
        <v>200</v>
      </c>
      <c r="O18" s="13">
        <v>201</v>
      </c>
      <c r="P18" s="4" t="s">
        <v>27</v>
      </c>
    </row>
    <row r="19" ht="58" customHeight="1" spans="1:16">
      <c r="A19" s="13">
        <v>13</v>
      </c>
      <c r="B19" s="4" t="s">
        <v>35</v>
      </c>
      <c r="C19" s="4" t="s">
        <v>27</v>
      </c>
      <c r="D19" s="4" t="s">
        <v>27</v>
      </c>
      <c r="E19" s="4" t="s">
        <v>70</v>
      </c>
      <c r="F19" s="13" t="s">
        <v>37</v>
      </c>
      <c r="G19" s="4" t="s">
        <v>71</v>
      </c>
      <c r="H19" s="4" t="s">
        <v>39</v>
      </c>
      <c r="I19" s="4" t="s">
        <v>72</v>
      </c>
      <c r="J19" s="4" t="s">
        <v>27</v>
      </c>
      <c r="K19" s="13">
        <v>10000</v>
      </c>
      <c r="L19" s="4" t="s">
        <v>41</v>
      </c>
      <c r="M19" s="9" t="s">
        <v>4</v>
      </c>
      <c r="N19" s="13">
        <v>200</v>
      </c>
      <c r="O19" s="13">
        <v>131</v>
      </c>
      <c r="P19" s="4" t="s">
        <v>27</v>
      </c>
    </row>
    <row r="20" ht="58" customHeight="1" spans="1:16">
      <c r="A20" s="13">
        <v>14</v>
      </c>
      <c r="B20" s="4" t="s">
        <v>35</v>
      </c>
      <c r="C20" s="4" t="s">
        <v>27</v>
      </c>
      <c r="D20" s="4" t="s">
        <v>27</v>
      </c>
      <c r="E20" s="4" t="s">
        <v>73</v>
      </c>
      <c r="F20" s="13" t="s">
        <v>37</v>
      </c>
      <c r="G20" s="4" t="s">
        <v>68</v>
      </c>
      <c r="H20" s="4" t="s">
        <v>39</v>
      </c>
      <c r="I20" s="4" t="s">
        <v>72</v>
      </c>
      <c r="J20" s="4" t="s">
        <v>27</v>
      </c>
      <c r="K20" s="13">
        <v>10000</v>
      </c>
      <c r="L20" s="4" t="s">
        <v>41</v>
      </c>
      <c r="M20" s="9" t="s">
        <v>4</v>
      </c>
      <c r="N20" s="13">
        <v>200</v>
      </c>
      <c r="O20" s="13">
        <v>66</v>
      </c>
      <c r="P20" s="4" t="s">
        <v>27</v>
      </c>
    </row>
    <row r="21" ht="58" customHeight="1" spans="1:16">
      <c r="A21" s="13">
        <v>15</v>
      </c>
      <c r="B21" s="4" t="s">
        <v>35</v>
      </c>
      <c r="C21" s="4" t="s">
        <v>27</v>
      </c>
      <c r="D21" s="4" t="s">
        <v>27</v>
      </c>
      <c r="E21" s="4" t="s">
        <v>74</v>
      </c>
      <c r="F21" s="13" t="s">
        <v>37</v>
      </c>
      <c r="G21" s="4" t="s">
        <v>71</v>
      </c>
      <c r="H21" s="4" t="s">
        <v>39</v>
      </c>
      <c r="I21" s="4" t="s">
        <v>69</v>
      </c>
      <c r="J21" s="4" t="s">
        <v>27</v>
      </c>
      <c r="K21" s="13">
        <v>10000</v>
      </c>
      <c r="L21" s="4" t="s">
        <v>41</v>
      </c>
      <c r="M21" s="9" t="s">
        <v>4</v>
      </c>
      <c r="N21" s="13">
        <v>200</v>
      </c>
      <c r="O21" s="13">
        <v>88</v>
      </c>
      <c r="P21" s="4" t="s">
        <v>27</v>
      </c>
    </row>
    <row r="22" ht="58" customHeight="1" spans="1:16">
      <c r="A22" s="13">
        <v>16</v>
      </c>
      <c r="B22" s="4" t="s">
        <v>75</v>
      </c>
      <c r="C22" s="4" t="s">
        <v>27</v>
      </c>
      <c r="D22" s="4" t="s">
        <v>27</v>
      </c>
      <c r="E22" s="4" t="s">
        <v>76</v>
      </c>
      <c r="F22" s="13" t="s">
        <v>37</v>
      </c>
      <c r="G22" s="4" t="s">
        <v>54</v>
      </c>
      <c r="H22" s="4" t="s">
        <v>39</v>
      </c>
      <c r="I22" s="4" t="s">
        <v>55</v>
      </c>
      <c r="J22" s="4" t="s">
        <v>27</v>
      </c>
      <c r="K22" s="13">
        <v>10000</v>
      </c>
      <c r="L22" s="4" t="s">
        <v>41</v>
      </c>
      <c r="M22" s="9" t="s">
        <v>4</v>
      </c>
      <c r="N22" s="13">
        <v>200</v>
      </c>
      <c r="O22" s="13">
        <v>68</v>
      </c>
      <c r="P22" s="4" t="s">
        <v>27</v>
      </c>
    </row>
    <row r="23" ht="58" customHeight="1" spans="1:16">
      <c r="A23" s="13">
        <v>17</v>
      </c>
      <c r="B23" s="4" t="s">
        <v>75</v>
      </c>
      <c r="C23" s="4" t="s">
        <v>27</v>
      </c>
      <c r="D23" s="4" t="s">
        <v>27</v>
      </c>
      <c r="E23" s="4" t="s">
        <v>77</v>
      </c>
      <c r="F23" s="13" t="s">
        <v>37</v>
      </c>
      <c r="G23" s="4" t="s">
        <v>66</v>
      </c>
      <c r="H23" s="4" t="s">
        <v>39</v>
      </c>
      <c r="I23" s="4" t="s">
        <v>27</v>
      </c>
      <c r="J23" s="4" t="s">
        <v>27</v>
      </c>
      <c r="K23" s="13">
        <v>10000</v>
      </c>
      <c r="L23" s="4" t="s">
        <v>41</v>
      </c>
      <c r="M23" s="9" t="s">
        <v>4</v>
      </c>
      <c r="N23" s="13">
        <v>200</v>
      </c>
      <c r="O23" s="13">
        <v>60</v>
      </c>
      <c r="P23" s="4" t="s">
        <v>27</v>
      </c>
    </row>
    <row r="24" ht="58" customHeight="1" spans="1:16">
      <c r="A24" s="13">
        <v>18</v>
      </c>
      <c r="B24" s="4" t="s">
        <v>75</v>
      </c>
      <c r="C24" s="4" t="s">
        <v>27</v>
      </c>
      <c r="D24" s="4" t="s">
        <v>27</v>
      </c>
      <c r="E24" s="4" t="s">
        <v>78</v>
      </c>
      <c r="F24" s="13" t="s">
        <v>37</v>
      </c>
      <c r="G24" s="4" t="s">
        <v>48</v>
      </c>
      <c r="H24" s="4" t="s">
        <v>39</v>
      </c>
      <c r="I24" s="4" t="s">
        <v>79</v>
      </c>
      <c r="J24" s="4" t="s">
        <v>27</v>
      </c>
      <c r="K24" s="13">
        <v>10000</v>
      </c>
      <c r="L24" s="4" t="s">
        <v>41</v>
      </c>
      <c r="M24" s="9" t="s">
        <v>4</v>
      </c>
      <c r="N24" s="13">
        <v>200</v>
      </c>
      <c r="O24" s="13">
        <v>59</v>
      </c>
      <c r="P24" s="4" t="s">
        <v>27</v>
      </c>
    </row>
    <row r="25" ht="58" customHeight="1" spans="1:16">
      <c r="A25" s="13">
        <v>19</v>
      </c>
      <c r="B25" s="4" t="s">
        <v>75</v>
      </c>
      <c r="C25" s="4" t="s">
        <v>27</v>
      </c>
      <c r="D25" s="4" t="s">
        <v>27</v>
      </c>
      <c r="E25" s="4" t="s">
        <v>80</v>
      </c>
      <c r="F25" s="13" t="s">
        <v>37</v>
      </c>
      <c r="G25" s="4" t="s">
        <v>81</v>
      </c>
      <c r="H25" s="4" t="s">
        <v>39</v>
      </c>
      <c r="I25" s="4" t="s">
        <v>55</v>
      </c>
      <c r="J25" s="4" t="s">
        <v>27</v>
      </c>
      <c r="K25" s="13">
        <v>10000</v>
      </c>
      <c r="L25" s="4" t="s">
        <v>41</v>
      </c>
      <c r="M25" s="9" t="s">
        <v>4</v>
      </c>
      <c r="N25" s="13">
        <v>200</v>
      </c>
      <c r="O25" s="13">
        <v>380</v>
      </c>
      <c r="P25" s="4" t="s">
        <v>27</v>
      </c>
    </row>
    <row r="26" ht="58" customHeight="1" spans="1:16">
      <c r="A26" s="13">
        <v>20</v>
      </c>
      <c r="B26" s="4" t="s">
        <v>75</v>
      </c>
      <c r="C26" s="4" t="s">
        <v>27</v>
      </c>
      <c r="D26" s="4" t="s">
        <v>27</v>
      </c>
      <c r="E26" s="4" t="s">
        <v>82</v>
      </c>
      <c r="F26" s="13" t="s">
        <v>37</v>
      </c>
      <c r="G26" s="4" t="s">
        <v>83</v>
      </c>
      <c r="H26" s="4" t="s">
        <v>39</v>
      </c>
      <c r="I26" s="4" t="s">
        <v>79</v>
      </c>
      <c r="J26" s="4" t="s">
        <v>27</v>
      </c>
      <c r="K26" s="13">
        <v>10000</v>
      </c>
      <c r="L26" s="4" t="s">
        <v>41</v>
      </c>
      <c r="M26" s="9" t="s">
        <v>4</v>
      </c>
      <c r="N26" s="13">
        <v>200</v>
      </c>
      <c r="O26" s="13">
        <v>569</v>
      </c>
      <c r="P26" s="4" t="s">
        <v>27</v>
      </c>
    </row>
    <row r="27" ht="58" customHeight="1" spans="1:16">
      <c r="A27" s="13">
        <v>21</v>
      </c>
      <c r="B27" s="4" t="s">
        <v>75</v>
      </c>
      <c r="C27" s="4" t="s">
        <v>27</v>
      </c>
      <c r="D27" s="4" t="s">
        <v>27</v>
      </c>
      <c r="E27" s="4" t="s">
        <v>84</v>
      </c>
      <c r="F27" s="13" t="s">
        <v>37</v>
      </c>
      <c r="G27" s="4" t="s">
        <v>85</v>
      </c>
      <c r="H27" s="4" t="s">
        <v>39</v>
      </c>
      <c r="I27" s="4" t="s">
        <v>79</v>
      </c>
      <c r="J27" s="4" t="s">
        <v>27</v>
      </c>
      <c r="K27" s="13">
        <v>10000</v>
      </c>
      <c r="L27" s="4" t="s">
        <v>41</v>
      </c>
      <c r="M27" s="9" t="s">
        <v>4</v>
      </c>
      <c r="N27" s="13">
        <v>200</v>
      </c>
      <c r="O27" s="13">
        <v>4385</v>
      </c>
      <c r="P27" s="4" t="s">
        <v>27</v>
      </c>
    </row>
    <row r="28" ht="58" customHeight="1" spans="1:16">
      <c r="A28" s="13">
        <v>22</v>
      </c>
      <c r="B28" s="4" t="s">
        <v>75</v>
      </c>
      <c r="C28" s="4" t="s">
        <v>27</v>
      </c>
      <c r="D28" s="4" t="s">
        <v>27</v>
      </c>
      <c r="E28" s="4" t="s">
        <v>86</v>
      </c>
      <c r="F28" s="13" t="s">
        <v>37</v>
      </c>
      <c r="G28" s="4" t="s">
        <v>87</v>
      </c>
      <c r="H28" s="4" t="s">
        <v>39</v>
      </c>
      <c r="I28" s="4" t="s">
        <v>88</v>
      </c>
      <c r="J28" s="4" t="s">
        <v>27</v>
      </c>
      <c r="K28" s="13">
        <v>10000</v>
      </c>
      <c r="L28" s="4" t="s">
        <v>59</v>
      </c>
      <c r="M28" s="9" t="s">
        <v>4</v>
      </c>
      <c r="N28" s="13">
        <v>200</v>
      </c>
      <c r="O28" s="13">
        <v>85</v>
      </c>
      <c r="P28" s="4" t="s">
        <v>27</v>
      </c>
    </row>
    <row r="29" ht="58" customHeight="1" spans="1:16">
      <c r="A29" s="13">
        <v>23</v>
      </c>
      <c r="B29" s="4" t="s">
        <v>75</v>
      </c>
      <c r="C29" s="4" t="s">
        <v>27</v>
      </c>
      <c r="D29" s="4" t="s">
        <v>27</v>
      </c>
      <c r="E29" s="4" t="s">
        <v>89</v>
      </c>
      <c r="F29" s="13" t="s">
        <v>37</v>
      </c>
      <c r="G29" s="4" t="s">
        <v>87</v>
      </c>
      <c r="H29" s="4" t="s">
        <v>39</v>
      </c>
      <c r="I29" s="4" t="s">
        <v>90</v>
      </c>
      <c r="J29" s="4" t="s">
        <v>27</v>
      </c>
      <c r="K29" s="13">
        <v>10000</v>
      </c>
      <c r="L29" s="4" t="s">
        <v>59</v>
      </c>
      <c r="M29" s="9" t="s">
        <v>4</v>
      </c>
      <c r="N29" s="13">
        <v>200</v>
      </c>
      <c r="O29" s="13">
        <v>60</v>
      </c>
      <c r="P29" s="4" t="s">
        <v>27</v>
      </c>
    </row>
    <row r="30" ht="58" customHeight="1" spans="1:16">
      <c r="A30" s="13">
        <v>24</v>
      </c>
      <c r="B30" s="4" t="s">
        <v>75</v>
      </c>
      <c r="C30" s="4" t="s">
        <v>27</v>
      </c>
      <c r="D30" s="4" t="s">
        <v>27</v>
      </c>
      <c r="E30" s="4" t="s">
        <v>91</v>
      </c>
      <c r="F30" s="13" t="s">
        <v>37</v>
      </c>
      <c r="G30" s="4" t="s">
        <v>92</v>
      </c>
      <c r="H30" s="4" t="s">
        <v>39</v>
      </c>
      <c r="I30" s="4" t="s">
        <v>88</v>
      </c>
      <c r="J30" s="4" t="s">
        <v>27</v>
      </c>
      <c r="K30" s="13">
        <v>10000</v>
      </c>
      <c r="L30" s="4" t="s">
        <v>59</v>
      </c>
      <c r="M30" s="9" t="s">
        <v>4</v>
      </c>
      <c r="N30" s="13">
        <v>200</v>
      </c>
      <c r="O30" s="13">
        <v>73</v>
      </c>
      <c r="P30" s="4" t="s">
        <v>27</v>
      </c>
    </row>
    <row r="31" ht="58" customHeight="1" spans="1:16">
      <c r="A31" s="13">
        <v>25</v>
      </c>
      <c r="B31" s="4" t="s">
        <v>75</v>
      </c>
      <c r="C31" s="4" t="s">
        <v>27</v>
      </c>
      <c r="D31" s="4" t="s">
        <v>27</v>
      </c>
      <c r="E31" s="4" t="s">
        <v>93</v>
      </c>
      <c r="F31" s="13" t="s">
        <v>37</v>
      </c>
      <c r="G31" s="4" t="s">
        <v>57</v>
      </c>
      <c r="H31" s="4" t="s">
        <v>39</v>
      </c>
      <c r="I31" s="4" t="s">
        <v>58</v>
      </c>
      <c r="J31" s="4" t="s">
        <v>27</v>
      </c>
      <c r="K31" s="13">
        <v>10000</v>
      </c>
      <c r="L31" s="4" t="s">
        <v>59</v>
      </c>
      <c r="M31" s="9" t="s">
        <v>4</v>
      </c>
      <c r="N31" s="13">
        <v>200</v>
      </c>
      <c r="O31" s="13">
        <v>79</v>
      </c>
      <c r="P31" s="4" t="s">
        <v>27</v>
      </c>
    </row>
    <row r="32" ht="58" customHeight="1" spans="1:16">
      <c r="A32" s="13">
        <v>26</v>
      </c>
      <c r="B32" s="4" t="s">
        <v>75</v>
      </c>
      <c r="C32" s="4" t="s">
        <v>27</v>
      </c>
      <c r="D32" s="4" t="s">
        <v>27</v>
      </c>
      <c r="E32" s="4" t="s">
        <v>94</v>
      </c>
      <c r="F32" s="13" t="s">
        <v>37</v>
      </c>
      <c r="G32" s="4" t="s">
        <v>92</v>
      </c>
      <c r="H32" s="4" t="s">
        <v>39</v>
      </c>
      <c r="I32" s="4" t="s">
        <v>90</v>
      </c>
      <c r="J32" s="4" t="s">
        <v>27</v>
      </c>
      <c r="K32" s="13">
        <v>10000</v>
      </c>
      <c r="L32" s="4" t="s">
        <v>59</v>
      </c>
      <c r="M32" s="9" t="s">
        <v>4</v>
      </c>
      <c r="N32" s="13">
        <v>200</v>
      </c>
      <c r="O32" s="13">
        <v>60</v>
      </c>
      <c r="P32" s="4" t="s">
        <v>27</v>
      </c>
    </row>
    <row r="33" ht="58" customHeight="1" spans="1:16">
      <c r="A33" s="13">
        <v>27</v>
      </c>
      <c r="B33" s="4" t="s">
        <v>75</v>
      </c>
      <c r="C33" s="4" t="s">
        <v>27</v>
      </c>
      <c r="D33" s="4" t="s">
        <v>27</v>
      </c>
      <c r="E33" s="4" t="s">
        <v>95</v>
      </c>
      <c r="F33" s="13" t="s">
        <v>37</v>
      </c>
      <c r="G33" s="4" t="s">
        <v>96</v>
      </c>
      <c r="H33" s="4" t="s">
        <v>39</v>
      </c>
      <c r="I33" s="4" t="s">
        <v>97</v>
      </c>
      <c r="J33" s="4" t="s">
        <v>27</v>
      </c>
      <c r="K33" s="13">
        <v>10000</v>
      </c>
      <c r="L33" s="4" t="s">
        <v>59</v>
      </c>
      <c r="M33" s="9" t="s">
        <v>4</v>
      </c>
      <c r="N33" s="13">
        <v>200</v>
      </c>
      <c r="O33" s="13">
        <v>289</v>
      </c>
      <c r="P33" s="4" t="s">
        <v>27</v>
      </c>
    </row>
    <row r="34" ht="58" customHeight="1" spans="1:16">
      <c r="A34" s="13">
        <v>28</v>
      </c>
      <c r="B34" s="4" t="s">
        <v>98</v>
      </c>
      <c r="C34" s="4" t="s">
        <v>27</v>
      </c>
      <c r="D34" s="4" t="s">
        <v>27</v>
      </c>
      <c r="E34" s="4" t="s">
        <v>99</v>
      </c>
      <c r="F34" s="13" t="s">
        <v>37</v>
      </c>
      <c r="G34" s="4" t="s">
        <v>100</v>
      </c>
      <c r="H34" s="4" t="s">
        <v>39</v>
      </c>
      <c r="I34" s="4" t="s">
        <v>101</v>
      </c>
      <c r="J34" s="4" t="s">
        <v>27</v>
      </c>
      <c r="K34" s="13">
        <v>10000</v>
      </c>
      <c r="L34" s="4" t="s">
        <v>41</v>
      </c>
      <c r="M34" s="9" t="s">
        <v>4</v>
      </c>
      <c r="N34" s="13">
        <v>200</v>
      </c>
      <c r="O34" s="13">
        <v>73</v>
      </c>
      <c r="P34" s="4" t="s">
        <v>27</v>
      </c>
    </row>
    <row r="35" ht="58" customHeight="1" spans="1:16">
      <c r="A35" s="13">
        <v>29</v>
      </c>
      <c r="B35" s="4" t="s">
        <v>98</v>
      </c>
      <c r="C35" s="4" t="s">
        <v>27</v>
      </c>
      <c r="D35" s="4" t="s">
        <v>27</v>
      </c>
      <c r="E35" s="4" t="s">
        <v>102</v>
      </c>
      <c r="F35" s="13" t="s">
        <v>37</v>
      </c>
      <c r="G35" s="4" t="s">
        <v>103</v>
      </c>
      <c r="H35" s="4" t="s">
        <v>39</v>
      </c>
      <c r="I35" s="4" t="s">
        <v>104</v>
      </c>
      <c r="J35" s="4" t="s">
        <v>27</v>
      </c>
      <c r="K35" s="13">
        <v>10000</v>
      </c>
      <c r="L35" s="4" t="s">
        <v>41</v>
      </c>
      <c r="M35" s="9" t="s">
        <v>4</v>
      </c>
      <c r="N35" s="13">
        <v>200</v>
      </c>
      <c r="O35" s="13">
        <v>97</v>
      </c>
      <c r="P35" s="4" t="s">
        <v>27</v>
      </c>
    </row>
    <row r="36" ht="58" customHeight="1" spans="1:16">
      <c r="A36" s="13">
        <v>30</v>
      </c>
      <c r="B36" s="4" t="s">
        <v>98</v>
      </c>
      <c r="C36" s="4" t="s">
        <v>27</v>
      </c>
      <c r="D36" s="4" t="s">
        <v>27</v>
      </c>
      <c r="E36" s="4" t="s">
        <v>105</v>
      </c>
      <c r="F36" s="13" t="s">
        <v>37</v>
      </c>
      <c r="G36" s="4" t="s">
        <v>106</v>
      </c>
      <c r="H36" s="4" t="s">
        <v>39</v>
      </c>
      <c r="I36" s="4" t="s">
        <v>107</v>
      </c>
      <c r="J36" s="4" t="s">
        <v>27</v>
      </c>
      <c r="K36" s="13">
        <v>10000</v>
      </c>
      <c r="L36" s="4" t="s">
        <v>41</v>
      </c>
      <c r="M36" s="9" t="s">
        <v>4</v>
      </c>
      <c r="N36" s="13">
        <v>200</v>
      </c>
      <c r="O36" s="13">
        <v>70</v>
      </c>
      <c r="P36" s="4" t="s">
        <v>27</v>
      </c>
    </row>
    <row r="37" ht="58" customHeight="1" spans="1:16">
      <c r="A37" s="13">
        <v>31</v>
      </c>
      <c r="B37" s="4" t="s">
        <v>98</v>
      </c>
      <c r="C37" s="4" t="s">
        <v>27</v>
      </c>
      <c r="D37" s="4" t="s">
        <v>27</v>
      </c>
      <c r="E37" s="4" t="s">
        <v>108</v>
      </c>
      <c r="F37" s="13" t="s">
        <v>37</v>
      </c>
      <c r="G37" s="4" t="s">
        <v>109</v>
      </c>
      <c r="H37" s="4" t="s">
        <v>39</v>
      </c>
      <c r="I37" s="4" t="s">
        <v>110</v>
      </c>
      <c r="J37" s="4" t="s">
        <v>27</v>
      </c>
      <c r="K37" s="13">
        <v>10000</v>
      </c>
      <c r="L37" s="4" t="s">
        <v>41</v>
      </c>
      <c r="M37" s="9" t="s">
        <v>4</v>
      </c>
      <c r="N37" s="13">
        <v>200</v>
      </c>
      <c r="O37" s="13">
        <v>69</v>
      </c>
      <c r="P37" s="4" t="s">
        <v>27</v>
      </c>
    </row>
    <row r="38" ht="58" customHeight="1" spans="1:16">
      <c r="A38" s="13">
        <v>32</v>
      </c>
      <c r="B38" s="4" t="s">
        <v>98</v>
      </c>
      <c r="C38" s="4" t="s">
        <v>27</v>
      </c>
      <c r="D38" s="4" t="s">
        <v>27</v>
      </c>
      <c r="E38" s="4" t="s">
        <v>111</v>
      </c>
      <c r="F38" s="13" t="s">
        <v>37</v>
      </c>
      <c r="G38" s="4" t="s">
        <v>112</v>
      </c>
      <c r="H38" s="4" t="s">
        <v>39</v>
      </c>
      <c r="I38" s="4" t="s">
        <v>113</v>
      </c>
      <c r="J38" s="4" t="s">
        <v>27</v>
      </c>
      <c r="K38" s="13">
        <v>10000</v>
      </c>
      <c r="L38" s="4" t="s">
        <v>41</v>
      </c>
      <c r="M38" s="9" t="s">
        <v>4</v>
      </c>
      <c r="N38" s="13">
        <v>200</v>
      </c>
      <c r="O38" s="13">
        <v>61</v>
      </c>
      <c r="P38" s="4" t="s">
        <v>27</v>
      </c>
    </row>
    <row r="39" ht="58" customHeight="1" spans="1:16">
      <c r="A39" s="13">
        <v>33</v>
      </c>
      <c r="B39" s="4" t="s">
        <v>98</v>
      </c>
      <c r="C39" s="4" t="s">
        <v>27</v>
      </c>
      <c r="D39" s="4" t="s">
        <v>27</v>
      </c>
      <c r="E39" s="4" t="s">
        <v>114</v>
      </c>
      <c r="F39" s="13" t="s">
        <v>37</v>
      </c>
      <c r="G39" s="4" t="s">
        <v>115</v>
      </c>
      <c r="H39" s="4" t="s">
        <v>39</v>
      </c>
      <c r="I39" s="4" t="s">
        <v>116</v>
      </c>
      <c r="J39" s="4" t="s">
        <v>27</v>
      </c>
      <c r="K39" s="13">
        <v>10000</v>
      </c>
      <c r="L39" s="4" t="s">
        <v>41</v>
      </c>
      <c r="M39" s="9" t="s">
        <v>4</v>
      </c>
      <c r="N39" s="13">
        <v>200</v>
      </c>
      <c r="O39" s="13">
        <v>101</v>
      </c>
      <c r="P39" s="4" t="s">
        <v>27</v>
      </c>
    </row>
    <row r="40" ht="58" customHeight="1" spans="1:16">
      <c r="A40" s="13">
        <v>34</v>
      </c>
      <c r="B40" s="4" t="s">
        <v>98</v>
      </c>
      <c r="C40" s="4" t="s">
        <v>27</v>
      </c>
      <c r="D40" s="4" t="s">
        <v>27</v>
      </c>
      <c r="E40" s="4" t="s">
        <v>117</v>
      </c>
      <c r="F40" s="13" t="s">
        <v>37</v>
      </c>
      <c r="G40" s="4" t="s">
        <v>118</v>
      </c>
      <c r="H40" s="4" t="s">
        <v>39</v>
      </c>
      <c r="I40" s="4" t="s">
        <v>119</v>
      </c>
      <c r="J40" s="4" t="s">
        <v>27</v>
      </c>
      <c r="K40" s="13">
        <v>10000</v>
      </c>
      <c r="L40" s="4" t="s">
        <v>59</v>
      </c>
      <c r="M40" s="9" t="s">
        <v>4</v>
      </c>
      <c r="N40" s="13">
        <v>200</v>
      </c>
      <c r="O40" s="13">
        <v>137</v>
      </c>
      <c r="P40" s="4" t="s">
        <v>27</v>
      </c>
    </row>
    <row r="41" ht="58" customHeight="1" spans="1:16">
      <c r="A41" s="13">
        <v>35</v>
      </c>
      <c r="B41" s="4" t="s">
        <v>98</v>
      </c>
      <c r="C41" s="4" t="s">
        <v>27</v>
      </c>
      <c r="D41" s="4" t="s">
        <v>27</v>
      </c>
      <c r="E41" s="4" t="s">
        <v>120</v>
      </c>
      <c r="F41" s="13" t="s">
        <v>37</v>
      </c>
      <c r="G41" s="4" t="s">
        <v>121</v>
      </c>
      <c r="H41" s="4" t="s">
        <v>39</v>
      </c>
      <c r="I41" s="4" t="s">
        <v>122</v>
      </c>
      <c r="J41" s="4" t="s">
        <v>27</v>
      </c>
      <c r="K41" s="13">
        <v>10000</v>
      </c>
      <c r="L41" s="4" t="s">
        <v>59</v>
      </c>
      <c r="M41" s="9" t="s">
        <v>4</v>
      </c>
      <c r="N41" s="13">
        <v>200</v>
      </c>
      <c r="O41" s="13">
        <v>501</v>
      </c>
      <c r="P41" s="4" t="s">
        <v>27</v>
      </c>
    </row>
    <row r="42" ht="58" customHeight="1" spans="1:16">
      <c r="A42" s="13">
        <v>36</v>
      </c>
      <c r="B42" s="4" t="s">
        <v>98</v>
      </c>
      <c r="C42" s="4" t="s">
        <v>27</v>
      </c>
      <c r="D42" s="4" t="s">
        <v>27</v>
      </c>
      <c r="E42" s="4" t="s">
        <v>123</v>
      </c>
      <c r="F42" s="13" t="s">
        <v>37</v>
      </c>
      <c r="G42" s="4" t="s">
        <v>124</v>
      </c>
      <c r="H42" s="4" t="s">
        <v>39</v>
      </c>
      <c r="I42" s="4" t="s">
        <v>125</v>
      </c>
      <c r="J42" s="4" t="s">
        <v>27</v>
      </c>
      <c r="K42" s="13">
        <v>10000</v>
      </c>
      <c r="L42" s="4" t="s">
        <v>41</v>
      </c>
      <c r="M42" s="9" t="s">
        <v>4</v>
      </c>
      <c r="N42" s="13">
        <v>200</v>
      </c>
      <c r="O42" s="13">
        <v>222</v>
      </c>
      <c r="P42" s="4" t="s">
        <v>27</v>
      </c>
    </row>
    <row r="43" ht="58" customHeight="1" spans="1:16">
      <c r="A43" s="13">
        <v>37</v>
      </c>
      <c r="B43" s="4" t="s">
        <v>98</v>
      </c>
      <c r="C43" s="4" t="s">
        <v>27</v>
      </c>
      <c r="D43" s="4" t="s">
        <v>27</v>
      </c>
      <c r="E43" s="4" t="s">
        <v>126</v>
      </c>
      <c r="F43" s="13" t="s">
        <v>37</v>
      </c>
      <c r="G43" s="4" t="s">
        <v>127</v>
      </c>
      <c r="H43" s="4" t="s">
        <v>39</v>
      </c>
      <c r="I43" s="4" t="s">
        <v>128</v>
      </c>
      <c r="J43" s="4" t="s">
        <v>27</v>
      </c>
      <c r="K43" s="13">
        <v>10000</v>
      </c>
      <c r="L43" s="4" t="s">
        <v>41</v>
      </c>
      <c r="M43" s="9" t="s">
        <v>4</v>
      </c>
      <c r="N43" s="13">
        <v>200</v>
      </c>
      <c r="O43" s="13">
        <v>193</v>
      </c>
      <c r="P43" s="4" t="s">
        <v>27</v>
      </c>
    </row>
    <row r="44" ht="58" customHeight="1" spans="1:16">
      <c r="A44" s="13">
        <v>38</v>
      </c>
      <c r="B44" s="4" t="s">
        <v>98</v>
      </c>
      <c r="C44" s="4" t="s">
        <v>27</v>
      </c>
      <c r="D44" s="4" t="s">
        <v>27</v>
      </c>
      <c r="E44" s="4" t="s">
        <v>129</v>
      </c>
      <c r="F44" s="13" t="s">
        <v>37</v>
      </c>
      <c r="G44" s="4" t="s">
        <v>48</v>
      </c>
      <c r="H44" s="4" t="s">
        <v>39</v>
      </c>
      <c r="I44" s="4" t="s">
        <v>49</v>
      </c>
      <c r="J44" s="4" t="s">
        <v>27</v>
      </c>
      <c r="K44" s="13">
        <v>10000</v>
      </c>
      <c r="L44" s="4" t="s">
        <v>41</v>
      </c>
      <c r="M44" s="9" t="s">
        <v>4</v>
      </c>
      <c r="N44" s="13">
        <v>200</v>
      </c>
      <c r="O44" s="13">
        <v>74</v>
      </c>
      <c r="P44" s="4" t="s">
        <v>27</v>
      </c>
    </row>
    <row r="45" ht="58" customHeight="1" spans="1:16">
      <c r="A45" s="13">
        <v>39</v>
      </c>
      <c r="B45" s="4" t="s">
        <v>98</v>
      </c>
      <c r="C45" s="4" t="s">
        <v>27</v>
      </c>
      <c r="D45" s="4" t="s">
        <v>27</v>
      </c>
      <c r="E45" s="4" t="s">
        <v>130</v>
      </c>
      <c r="F45" s="13" t="s">
        <v>37</v>
      </c>
      <c r="G45" s="4" t="s">
        <v>131</v>
      </c>
      <c r="H45" s="4" t="s">
        <v>39</v>
      </c>
      <c r="I45" s="4" t="s">
        <v>132</v>
      </c>
      <c r="J45" s="4" t="s">
        <v>27</v>
      </c>
      <c r="K45" s="13">
        <v>10000</v>
      </c>
      <c r="L45" s="4" t="s">
        <v>41</v>
      </c>
      <c r="M45" s="9" t="s">
        <v>4</v>
      </c>
      <c r="N45" s="13">
        <v>200</v>
      </c>
      <c r="O45" s="13">
        <v>73</v>
      </c>
      <c r="P45" s="4" t="s">
        <v>27</v>
      </c>
    </row>
    <row r="46" ht="58" customHeight="1" spans="1:16">
      <c r="A46" s="13">
        <v>40</v>
      </c>
      <c r="B46" s="4" t="s">
        <v>133</v>
      </c>
      <c r="C46" s="4" t="s">
        <v>27</v>
      </c>
      <c r="D46" s="4" t="s">
        <v>27</v>
      </c>
      <c r="E46" s="4" t="s">
        <v>134</v>
      </c>
      <c r="F46" s="13" t="s">
        <v>37</v>
      </c>
      <c r="G46" s="4" t="s">
        <v>135</v>
      </c>
      <c r="H46" s="4" t="s">
        <v>39</v>
      </c>
      <c r="I46" s="4" t="s">
        <v>136</v>
      </c>
      <c r="J46" s="4" t="s">
        <v>27</v>
      </c>
      <c r="K46" s="13">
        <v>10000</v>
      </c>
      <c r="L46" s="4" t="s">
        <v>41</v>
      </c>
      <c r="M46" s="9" t="s">
        <v>4</v>
      </c>
      <c r="N46" s="13">
        <v>200</v>
      </c>
      <c r="O46" s="13">
        <v>2573</v>
      </c>
      <c r="P46" s="4" t="s">
        <v>27</v>
      </c>
    </row>
    <row r="47" ht="58" customHeight="1" spans="1:16">
      <c r="A47" s="13">
        <v>41</v>
      </c>
      <c r="B47" s="4" t="s">
        <v>133</v>
      </c>
      <c r="C47" s="4" t="s">
        <v>27</v>
      </c>
      <c r="D47" s="4" t="s">
        <v>27</v>
      </c>
      <c r="E47" s="4" t="s">
        <v>137</v>
      </c>
      <c r="F47" s="13" t="s">
        <v>37</v>
      </c>
      <c r="G47" s="4" t="s">
        <v>138</v>
      </c>
      <c r="H47" s="4" t="s">
        <v>39</v>
      </c>
      <c r="I47" s="4" t="s">
        <v>139</v>
      </c>
      <c r="J47" s="4" t="s">
        <v>27</v>
      </c>
      <c r="K47" s="13">
        <v>10000</v>
      </c>
      <c r="L47" s="4" t="s">
        <v>41</v>
      </c>
      <c r="M47" s="9" t="s">
        <v>4</v>
      </c>
      <c r="N47" s="13">
        <v>200</v>
      </c>
      <c r="O47" s="13">
        <v>3192</v>
      </c>
      <c r="P47" s="4" t="s">
        <v>27</v>
      </c>
    </row>
    <row r="48" ht="58" customHeight="1" spans="1:16">
      <c r="A48" s="13">
        <v>42</v>
      </c>
      <c r="B48" s="4" t="s">
        <v>133</v>
      </c>
      <c r="C48" s="4" t="s">
        <v>27</v>
      </c>
      <c r="D48" s="4" t="s">
        <v>27</v>
      </c>
      <c r="E48" s="4" t="s">
        <v>140</v>
      </c>
      <c r="F48" s="13" t="s">
        <v>37</v>
      </c>
      <c r="G48" s="4" t="s">
        <v>141</v>
      </c>
      <c r="H48" s="4" t="s">
        <v>39</v>
      </c>
      <c r="I48" s="4" t="s">
        <v>136</v>
      </c>
      <c r="J48" s="4" t="s">
        <v>27</v>
      </c>
      <c r="K48" s="13">
        <v>10000</v>
      </c>
      <c r="L48" s="4" t="s">
        <v>41</v>
      </c>
      <c r="M48" s="9" t="s">
        <v>4</v>
      </c>
      <c r="N48" s="13">
        <v>200</v>
      </c>
      <c r="O48" s="13">
        <v>2940</v>
      </c>
      <c r="P48" s="4" t="s">
        <v>27</v>
      </c>
    </row>
    <row r="49" ht="58" customHeight="1" spans="1:16">
      <c r="A49" s="13">
        <v>43</v>
      </c>
      <c r="B49" s="4" t="s">
        <v>142</v>
      </c>
      <c r="C49" s="4" t="s">
        <v>27</v>
      </c>
      <c r="D49" s="4" t="s">
        <v>27</v>
      </c>
      <c r="E49" s="4" t="s">
        <v>143</v>
      </c>
      <c r="F49" s="13" t="s">
        <v>37</v>
      </c>
      <c r="G49" s="4" t="s">
        <v>144</v>
      </c>
      <c r="H49" s="4" t="s">
        <v>39</v>
      </c>
      <c r="I49" s="4" t="s">
        <v>145</v>
      </c>
      <c r="J49" s="4" t="s">
        <v>27</v>
      </c>
      <c r="K49" s="13">
        <v>10000</v>
      </c>
      <c r="L49" s="4" t="s">
        <v>146</v>
      </c>
      <c r="M49" s="9" t="s">
        <v>4</v>
      </c>
      <c r="N49" s="13">
        <v>200</v>
      </c>
      <c r="O49" s="13">
        <v>922</v>
      </c>
      <c r="P49" s="4" t="s">
        <v>27</v>
      </c>
    </row>
    <row r="50" ht="58" customHeight="1" spans="1:16">
      <c r="A50" s="13">
        <v>44</v>
      </c>
      <c r="B50" s="4" t="s">
        <v>142</v>
      </c>
      <c r="C50" s="4" t="s">
        <v>27</v>
      </c>
      <c r="D50" s="4" t="s">
        <v>27</v>
      </c>
      <c r="E50" s="4" t="s">
        <v>147</v>
      </c>
      <c r="F50" s="13" t="s">
        <v>37</v>
      </c>
      <c r="G50" s="4" t="s">
        <v>148</v>
      </c>
      <c r="H50" s="4" t="s">
        <v>39</v>
      </c>
      <c r="I50" s="4" t="s">
        <v>149</v>
      </c>
      <c r="J50" s="4" t="s">
        <v>27</v>
      </c>
      <c r="K50" s="13">
        <v>10000</v>
      </c>
      <c r="L50" s="4" t="s">
        <v>146</v>
      </c>
      <c r="M50" s="9" t="s">
        <v>4</v>
      </c>
      <c r="N50" s="13">
        <v>200</v>
      </c>
      <c r="O50" s="13">
        <v>336</v>
      </c>
      <c r="P50" s="4" t="s">
        <v>27</v>
      </c>
    </row>
    <row r="51" ht="58" customHeight="1" spans="1:16">
      <c r="A51" s="13">
        <v>45</v>
      </c>
      <c r="B51" s="4" t="s">
        <v>142</v>
      </c>
      <c r="C51" s="4" t="s">
        <v>27</v>
      </c>
      <c r="D51" s="4" t="s">
        <v>27</v>
      </c>
      <c r="E51" s="4" t="s">
        <v>150</v>
      </c>
      <c r="F51" s="13" t="s">
        <v>37</v>
      </c>
      <c r="G51" s="4" t="s">
        <v>151</v>
      </c>
      <c r="H51" s="4" t="s">
        <v>39</v>
      </c>
      <c r="I51" s="4" t="s">
        <v>152</v>
      </c>
      <c r="J51" s="4" t="s">
        <v>27</v>
      </c>
      <c r="K51" s="13">
        <v>10000</v>
      </c>
      <c r="L51" s="4" t="s">
        <v>41</v>
      </c>
      <c r="M51" s="9" t="s">
        <v>4</v>
      </c>
      <c r="N51" s="13">
        <v>200</v>
      </c>
      <c r="O51" s="13">
        <v>234</v>
      </c>
      <c r="P51" s="4" t="s">
        <v>27</v>
      </c>
    </row>
    <row r="52" ht="58" customHeight="1" spans="1:16">
      <c r="A52" s="13">
        <v>46</v>
      </c>
      <c r="B52" s="4" t="s">
        <v>142</v>
      </c>
      <c r="C52" s="4" t="s">
        <v>27</v>
      </c>
      <c r="D52" s="4" t="s">
        <v>27</v>
      </c>
      <c r="E52" s="4" t="s">
        <v>153</v>
      </c>
      <c r="F52" s="13" t="s">
        <v>37</v>
      </c>
      <c r="G52" s="4" t="s">
        <v>154</v>
      </c>
      <c r="H52" s="4" t="s">
        <v>39</v>
      </c>
      <c r="I52" s="4" t="s">
        <v>155</v>
      </c>
      <c r="J52" s="4" t="s">
        <v>27</v>
      </c>
      <c r="K52" s="13">
        <v>10000</v>
      </c>
      <c r="L52" s="4" t="s">
        <v>146</v>
      </c>
      <c r="M52" s="9" t="s">
        <v>4</v>
      </c>
      <c r="N52" s="13">
        <v>200</v>
      </c>
      <c r="O52" s="13">
        <v>154</v>
      </c>
      <c r="P52" s="4" t="s">
        <v>27</v>
      </c>
    </row>
    <row r="53" ht="58" customHeight="1" spans="1:16">
      <c r="A53" s="13">
        <v>47</v>
      </c>
      <c r="B53" s="4" t="s">
        <v>142</v>
      </c>
      <c r="C53" s="4" t="s">
        <v>27</v>
      </c>
      <c r="D53" s="4" t="s">
        <v>27</v>
      </c>
      <c r="E53" s="4" t="s">
        <v>156</v>
      </c>
      <c r="F53" s="13" t="s">
        <v>37</v>
      </c>
      <c r="G53" s="4" t="s">
        <v>157</v>
      </c>
      <c r="H53" s="4" t="s">
        <v>39</v>
      </c>
      <c r="I53" s="4" t="s">
        <v>158</v>
      </c>
      <c r="J53" s="4" t="s">
        <v>27</v>
      </c>
      <c r="K53" s="13">
        <v>10000</v>
      </c>
      <c r="L53" s="4" t="s">
        <v>41</v>
      </c>
      <c r="M53" s="9" t="s">
        <v>4</v>
      </c>
      <c r="N53" s="13">
        <v>200</v>
      </c>
      <c r="O53" s="13">
        <v>65</v>
      </c>
      <c r="P53" s="4" t="s">
        <v>27</v>
      </c>
    </row>
    <row r="54" ht="58" customHeight="1" spans="1:16">
      <c r="A54" s="13">
        <v>48</v>
      </c>
      <c r="B54" s="4" t="s">
        <v>142</v>
      </c>
      <c r="C54" s="4" t="s">
        <v>27</v>
      </c>
      <c r="D54" s="4" t="s">
        <v>27</v>
      </c>
      <c r="E54" s="4" t="s">
        <v>159</v>
      </c>
      <c r="F54" s="13" t="s">
        <v>37</v>
      </c>
      <c r="G54" s="4" t="s">
        <v>157</v>
      </c>
      <c r="H54" s="4" t="s">
        <v>39</v>
      </c>
      <c r="I54" s="4" t="s">
        <v>160</v>
      </c>
      <c r="J54" s="4" t="s">
        <v>27</v>
      </c>
      <c r="K54" s="13">
        <v>10000</v>
      </c>
      <c r="L54" s="4" t="s">
        <v>41</v>
      </c>
      <c r="M54" s="9" t="s">
        <v>4</v>
      </c>
      <c r="N54" s="13">
        <v>200</v>
      </c>
      <c r="O54" s="13">
        <v>80</v>
      </c>
      <c r="P54" s="4" t="s">
        <v>27</v>
      </c>
    </row>
    <row r="55" ht="58" customHeight="1" spans="1:16">
      <c r="A55" s="13">
        <v>49</v>
      </c>
      <c r="B55" s="4" t="s">
        <v>161</v>
      </c>
      <c r="C55" s="4" t="s">
        <v>27</v>
      </c>
      <c r="D55" s="4" t="s">
        <v>27</v>
      </c>
      <c r="E55" s="4" t="s">
        <v>162</v>
      </c>
      <c r="F55" s="13" t="s">
        <v>37</v>
      </c>
      <c r="G55" s="4" t="s">
        <v>163</v>
      </c>
      <c r="H55" s="4" t="s">
        <v>39</v>
      </c>
      <c r="I55" s="4" t="s">
        <v>164</v>
      </c>
      <c r="J55" s="4" t="s">
        <v>27</v>
      </c>
      <c r="K55" s="13">
        <v>20000</v>
      </c>
      <c r="L55" s="4" t="s">
        <v>146</v>
      </c>
      <c r="M55" s="9" t="s">
        <v>4</v>
      </c>
      <c r="N55" s="13">
        <v>200</v>
      </c>
      <c r="O55" s="13">
        <v>2490</v>
      </c>
      <c r="P55" s="4" t="s">
        <v>27</v>
      </c>
    </row>
    <row r="56" ht="58" customHeight="1" spans="1:16">
      <c r="A56" s="13">
        <v>50</v>
      </c>
      <c r="B56" s="4" t="s">
        <v>161</v>
      </c>
      <c r="C56" s="4" t="s">
        <v>27</v>
      </c>
      <c r="D56" s="4" t="s">
        <v>27</v>
      </c>
      <c r="E56" s="4" t="s">
        <v>165</v>
      </c>
      <c r="F56" s="13" t="s">
        <v>37</v>
      </c>
      <c r="G56" s="4" t="s">
        <v>166</v>
      </c>
      <c r="H56" s="4" t="s">
        <v>39</v>
      </c>
      <c r="I56" s="4" t="s">
        <v>167</v>
      </c>
      <c r="J56" s="4" t="s">
        <v>27</v>
      </c>
      <c r="K56" s="13">
        <v>20000</v>
      </c>
      <c r="L56" s="4" t="s">
        <v>146</v>
      </c>
      <c r="M56" s="9" t="s">
        <v>4</v>
      </c>
      <c r="N56" s="13">
        <v>200</v>
      </c>
      <c r="O56" s="13">
        <v>338</v>
      </c>
      <c r="P56" s="4" t="s">
        <v>27</v>
      </c>
    </row>
    <row r="57" ht="58" customHeight="1" spans="1:16">
      <c r="A57" s="13">
        <v>51</v>
      </c>
      <c r="B57" s="4" t="s">
        <v>161</v>
      </c>
      <c r="C57" s="4" t="s">
        <v>27</v>
      </c>
      <c r="D57" s="4" t="s">
        <v>27</v>
      </c>
      <c r="E57" s="4" t="s">
        <v>168</v>
      </c>
      <c r="F57" s="13" t="s">
        <v>37</v>
      </c>
      <c r="G57" s="4" t="s">
        <v>166</v>
      </c>
      <c r="H57" s="4" t="s">
        <v>39</v>
      </c>
      <c r="I57" s="4" t="s">
        <v>169</v>
      </c>
      <c r="J57" s="4" t="s">
        <v>27</v>
      </c>
      <c r="K57" s="13">
        <v>10000</v>
      </c>
      <c r="L57" s="4" t="s">
        <v>33</v>
      </c>
      <c r="M57" s="9" t="s">
        <v>4</v>
      </c>
      <c r="N57" s="13">
        <v>200</v>
      </c>
      <c r="O57" s="13">
        <v>439</v>
      </c>
      <c r="P57" s="4" t="s">
        <v>27</v>
      </c>
    </row>
    <row r="58" ht="58" customHeight="1" spans="1:16">
      <c r="A58" s="13">
        <v>52</v>
      </c>
      <c r="B58" s="4" t="s">
        <v>161</v>
      </c>
      <c r="C58" s="4" t="s">
        <v>27</v>
      </c>
      <c r="D58" s="4" t="s">
        <v>27</v>
      </c>
      <c r="E58" s="4" t="s">
        <v>170</v>
      </c>
      <c r="F58" s="13" t="s">
        <v>37</v>
      </c>
      <c r="G58" s="4" t="s">
        <v>166</v>
      </c>
      <c r="H58" s="4" t="s">
        <v>39</v>
      </c>
      <c r="I58" s="4" t="s">
        <v>171</v>
      </c>
      <c r="J58" s="4" t="s">
        <v>27</v>
      </c>
      <c r="K58" s="13">
        <v>10000</v>
      </c>
      <c r="L58" s="4" t="s">
        <v>172</v>
      </c>
      <c r="M58" s="9" t="s">
        <v>4</v>
      </c>
      <c r="N58" s="13">
        <v>200</v>
      </c>
      <c r="O58" s="13">
        <v>418</v>
      </c>
      <c r="P58" s="4" t="s">
        <v>27</v>
      </c>
    </row>
    <row r="59" ht="58" customHeight="1" spans="1:16">
      <c r="A59" s="13">
        <v>53</v>
      </c>
      <c r="B59" s="4" t="s">
        <v>173</v>
      </c>
      <c r="C59" s="4" t="s">
        <v>27</v>
      </c>
      <c r="D59" s="4" t="s">
        <v>27</v>
      </c>
      <c r="E59" s="4" t="s">
        <v>162</v>
      </c>
      <c r="F59" s="13" t="s">
        <v>37</v>
      </c>
      <c r="G59" s="4" t="s">
        <v>163</v>
      </c>
      <c r="H59" s="4" t="s">
        <v>39</v>
      </c>
      <c r="I59" s="4" t="s">
        <v>164</v>
      </c>
      <c r="J59" s="4" t="s">
        <v>27</v>
      </c>
      <c r="K59" s="13">
        <v>20000</v>
      </c>
      <c r="L59" s="4" t="s">
        <v>146</v>
      </c>
      <c r="M59" s="9" t="s">
        <v>4</v>
      </c>
      <c r="N59" s="13">
        <v>200</v>
      </c>
      <c r="O59" s="13">
        <v>1950</v>
      </c>
      <c r="P59" s="4" t="s">
        <v>27</v>
      </c>
    </row>
    <row r="60" ht="58" customHeight="1" spans="1:16">
      <c r="A60" s="13">
        <v>54</v>
      </c>
      <c r="B60" s="4" t="s">
        <v>173</v>
      </c>
      <c r="C60" s="4" t="s">
        <v>27</v>
      </c>
      <c r="D60" s="4" t="s">
        <v>27</v>
      </c>
      <c r="E60" s="4" t="s">
        <v>165</v>
      </c>
      <c r="F60" s="13" t="s">
        <v>37</v>
      </c>
      <c r="G60" s="4" t="s">
        <v>166</v>
      </c>
      <c r="H60" s="4" t="s">
        <v>39</v>
      </c>
      <c r="I60" s="4" t="s">
        <v>167</v>
      </c>
      <c r="J60" s="4" t="s">
        <v>27</v>
      </c>
      <c r="K60" s="13">
        <v>20000</v>
      </c>
      <c r="L60" s="4" t="s">
        <v>146</v>
      </c>
      <c r="M60" s="9" t="s">
        <v>4</v>
      </c>
      <c r="N60" s="13">
        <v>200</v>
      </c>
      <c r="O60" s="13">
        <v>297</v>
      </c>
      <c r="P60" s="4" t="s">
        <v>27</v>
      </c>
    </row>
    <row r="61" ht="58" customHeight="1" spans="1:16">
      <c r="A61" s="13">
        <v>55</v>
      </c>
      <c r="B61" s="4" t="s">
        <v>173</v>
      </c>
      <c r="C61" s="4" t="s">
        <v>27</v>
      </c>
      <c r="D61" s="4" t="s">
        <v>27</v>
      </c>
      <c r="E61" s="4" t="s">
        <v>168</v>
      </c>
      <c r="F61" s="13" t="s">
        <v>37</v>
      </c>
      <c r="G61" s="4" t="s">
        <v>166</v>
      </c>
      <c r="H61" s="4" t="s">
        <v>39</v>
      </c>
      <c r="I61" s="4" t="s">
        <v>169</v>
      </c>
      <c r="J61" s="4" t="s">
        <v>27</v>
      </c>
      <c r="K61" s="13">
        <v>10000</v>
      </c>
      <c r="L61" s="4" t="s">
        <v>33</v>
      </c>
      <c r="M61" s="9" t="s">
        <v>4</v>
      </c>
      <c r="N61" s="13">
        <v>200</v>
      </c>
      <c r="O61" s="13">
        <v>422</v>
      </c>
      <c r="P61" s="4" t="s">
        <v>27</v>
      </c>
    </row>
    <row r="62" ht="58" customHeight="1" spans="1:16">
      <c r="A62" s="13">
        <v>56</v>
      </c>
      <c r="B62" s="4" t="s">
        <v>173</v>
      </c>
      <c r="C62" s="4" t="s">
        <v>27</v>
      </c>
      <c r="D62" s="4" t="s">
        <v>27</v>
      </c>
      <c r="E62" s="4" t="s">
        <v>170</v>
      </c>
      <c r="F62" s="13" t="s">
        <v>37</v>
      </c>
      <c r="G62" s="4" t="s">
        <v>166</v>
      </c>
      <c r="H62" s="4" t="s">
        <v>39</v>
      </c>
      <c r="I62" s="4" t="s">
        <v>171</v>
      </c>
      <c r="J62" s="4" t="s">
        <v>27</v>
      </c>
      <c r="K62" s="13">
        <v>10000</v>
      </c>
      <c r="L62" s="4" t="s">
        <v>172</v>
      </c>
      <c r="M62" s="9" t="s">
        <v>4</v>
      </c>
      <c r="N62" s="13">
        <v>200</v>
      </c>
      <c r="O62" s="13">
        <v>474</v>
      </c>
      <c r="P62" s="4" t="s">
        <v>27</v>
      </c>
    </row>
    <row r="63" ht="58" customHeight="1" spans="1:16">
      <c r="A63" s="13">
        <v>57</v>
      </c>
      <c r="B63" s="4" t="s">
        <v>173</v>
      </c>
      <c r="C63" s="4" t="s">
        <v>27</v>
      </c>
      <c r="D63" s="4" t="s">
        <v>27</v>
      </c>
      <c r="E63" s="4" t="s">
        <v>174</v>
      </c>
      <c r="F63" s="13" t="s">
        <v>37</v>
      </c>
      <c r="G63" s="4" t="s">
        <v>96</v>
      </c>
      <c r="H63" s="4" t="s">
        <v>39</v>
      </c>
      <c r="I63" s="4" t="s">
        <v>175</v>
      </c>
      <c r="J63" s="4" t="s">
        <v>27</v>
      </c>
      <c r="K63" s="13">
        <v>10000</v>
      </c>
      <c r="L63" s="4" t="s">
        <v>59</v>
      </c>
      <c r="M63" s="9" t="s">
        <v>4</v>
      </c>
      <c r="N63" s="13">
        <v>200</v>
      </c>
      <c r="O63" s="13">
        <v>256</v>
      </c>
      <c r="P63" s="4" t="s">
        <v>27</v>
      </c>
    </row>
    <row r="64" ht="58" customHeight="1" spans="1:16">
      <c r="A64" s="13">
        <v>58</v>
      </c>
      <c r="B64" s="4" t="s">
        <v>173</v>
      </c>
      <c r="C64" s="4" t="s">
        <v>27</v>
      </c>
      <c r="D64" s="4" t="s">
        <v>27</v>
      </c>
      <c r="E64" s="4" t="s">
        <v>176</v>
      </c>
      <c r="F64" s="13" t="s">
        <v>37</v>
      </c>
      <c r="G64" s="4" t="s">
        <v>177</v>
      </c>
      <c r="H64" s="4" t="s">
        <v>39</v>
      </c>
      <c r="I64" s="4" t="s">
        <v>178</v>
      </c>
      <c r="J64" s="4" t="s">
        <v>27</v>
      </c>
      <c r="K64" s="13">
        <v>10000</v>
      </c>
      <c r="L64" s="4" t="s">
        <v>33</v>
      </c>
      <c r="M64" s="9" t="s">
        <v>4</v>
      </c>
      <c r="N64" s="13">
        <v>200</v>
      </c>
      <c r="O64" s="13">
        <v>180</v>
      </c>
      <c r="P64" s="4" t="s">
        <v>27</v>
      </c>
    </row>
    <row r="65" ht="58" customHeight="1" spans="1:16">
      <c r="A65" s="13">
        <v>59</v>
      </c>
      <c r="B65" s="4" t="s">
        <v>173</v>
      </c>
      <c r="C65" s="4" t="s">
        <v>27</v>
      </c>
      <c r="D65" s="4" t="s">
        <v>27</v>
      </c>
      <c r="E65" s="4" t="s">
        <v>179</v>
      </c>
      <c r="F65" s="13" t="s">
        <v>37</v>
      </c>
      <c r="G65" s="4" t="s">
        <v>180</v>
      </c>
      <c r="H65" s="4" t="s">
        <v>39</v>
      </c>
      <c r="I65" s="4" t="s">
        <v>181</v>
      </c>
      <c r="J65" s="4" t="s">
        <v>27</v>
      </c>
      <c r="K65" s="13">
        <v>10000</v>
      </c>
      <c r="L65" s="4" t="s">
        <v>59</v>
      </c>
      <c r="M65" s="9" t="s">
        <v>4</v>
      </c>
      <c r="N65" s="13">
        <v>200</v>
      </c>
      <c r="O65" s="13">
        <v>128</v>
      </c>
      <c r="P65" s="4" t="s">
        <v>27</v>
      </c>
    </row>
    <row r="66" ht="58" customHeight="1" spans="1:16">
      <c r="A66" s="13">
        <v>60</v>
      </c>
      <c r="B66" s="4" t="s">
        <v>173</v>
      </c>
      <c r="C66" s="4" t="s">
        <v>27</v>
      </c>
      <c r="D66" s="4" t="s">
        <v>27</v>
      </c>
      <c r="E66" s="4" t="s">
        <v>182</v>
      </c>
      <c r="F66" s="13" t="s">
        <v>37</v>
      </c>
      <c r="G66" s="4" t="s">
        <v>183</v>
      </c>
      <c r="H66" s="4" t="s">
        <v>39</v>
      </c>
      <c r="I66" s="4" t="s">
        <v>184</v>
      </c>
      <c r="J66" s="4" t="s">
        <v>27</v>
      </c>
      <c r="K66" s="13">
        <v>10000</v>
      </c>
      <c r="L66" s="4" t="s">
        <v>59</v>
      </c>
      <c r="M66" s="9" t="s">
        <v>4</v>
      </c>
      <c r="N66" s="13">
        <v>200</v>
      </c>
      <c r="O66" s="13">
        <v>102</v>
      </c>
      <c r="P66" s="4" t="s">
        <v>27</v>
      </c>
    </row>
    <row r="67" ht="58" customHeight="1" spans="1:16">
      <c r="A67" s="13">
        <v>61</v>
      </c>
      <c r="B67" s="4" t="s">
        <v>173</v>
      </c>
      <c r="C67" s="4" t="s">
        <v>27</v>
      </c>
      <c r="D67" s="4" t="s">
        <v>27</v>
      </c>
      <c r="E67" s="4" t="s">
        <v>185</v>
      </c>
      <c r="F67" s="13" t="s">
        <v>37</v>
      </c>
      <c r="G67" s="4" t="s">
        <v>186</v>
      </c>
      <c r="H67" s="4" t="s">
        <v>39</v>
      </c>
      <c r="I67" s="4" t="s">
        <v>187</v>
      </c>
      <c r="J67" s="4" t="s">
        <v>27</v>
      </c>
      <c r="K67" s="13">
        <v>10000</v>
      </c>
      <c r="L67" s="4" t="s">
        <v>59</v>
      </c>
      <c r="M67" s="9" t="s">
        <v>4</v>
      </c>
      <c r="N67" s="13">
        <v>200</v>
      </c>
      <c r="O67" s="13">
        <v>155</v>
      </c>
      <c r="P67" s="4" t="s">
        <v>27</v>
      </c>
    </row>
    <row r="68" ht="58" customHeight="1" spans="1:16">
      <c r="A68" s="13">
        <v>62</v>
      </c>
      <c r="B68" s="4" t="s">
        <v>173</v>
      </c>
      <c r="C68" s="4" t="s">
        <v>27</v>
      </c>
      <c r="D68" s="4" t="s">
        <v>27</v>
      </c>
      <c r="E68" s="4" t="s">
        <v>188</v>
      </c>
      <c r="F68" s="13" t="s">
        <v>37</v>
      </c>
      <c r="G68" s="4" t="s">
        <v>96</v>
      </c>
      <c r="H68" s="4" t="s">
        <v>39</v>
      </c>
      <c r="I68" s="4" t="s">
        <v>189</v>
      </c>
      <c r="J68" s="4" t="s">
        <v>27</v>
      </c>
      <c r="K68" s="13">
        <v>10000</v>
      </c>
      <c r="L68" s="4" t="s">
        <v>59</v>
      </c>
      <c r="M68" s="9" t="s">
        <v>4</v>
      </c>
      <c r="N68" s="13">
        <v>200</v>
      </c>
      <c r="O68" s="13">
        <v>557</v>
      </c>
      <c r="P68" s="4" t="s">
        <v>27</v>
      </c>
    </row>
    <row r="69" ht="58" customHeight="1" spans="1:16">
      <c r="A69" s="13">
        <v>63</v>
      </c>
      <c r="B69" s="4" t="s">
        <v>190</v>
      </c>
      <c r="C69" s="4" t="s">
        <v>27</v>
      </c>
      <c r="D69" s="4" t="s">
        <v>27</v>
      </c>
      <c r="E69" s="4" t="s">
        <v>191</v>
      </c>
      <c r="F69" s="13" t="s">
        <v>37</v>
      </c>
      <c r="G69" s="4" t="s">
        <v>192</v>
      </c>
      <c r="H69" s="4" t="s">
        <v>39</v>
      </c>
      <c r="I69" s="4" t="s">
        <v>193</v>
      </c>
      <c r="J69" s="4" t="s">
        <v>27</v>
      </c>
      <c r="K69" s="13">
        <v>10000</v>
      </c>
      <c r="L69" s="4" t="s">
        <v>146</v>
      </c>
      <c r="M69" s="9" t="s">
        <v>4</v>
      </c>
      <c r="N69" s="13">
        <v>200</v>
      </c>
      <c r="O69" s="13">
        <v>2109</v>
      </c>
      <c r="P69" s="4" t="s">
        <v>27</v>
      </c>
    </row>
    <row r="70" ht="58" customHeight="1" spans="1:16">
      <c r="A70" s="13">
        <v>64</v>
      </c>
      <c r="B70" s="4" t="s">
        <v>190</v>
      </c>
      <c r="C70" s="4" t="s">
        <v>27</v>
      </c>
      <c r="D70" s="4" t="s">
        <v>27</v>
      </c>
      <c r="E70" s="4" t="s">
        <v>194</v>
      </c>
      <c r="F70" s="13" t="s">
        <v>37</v>
      </c>
      <c r="G70" s="4" t="s">
        <v>195</v>
      </c>
      <c r="H70" s="4" t="s">
        <v>39</v>
      </c>
      <c r="I70" s="4" t="s">
        <v>196</v>
      </c>
      <c r="J70" s="4" t="s">
        <v>27</v>
      </c>
      <c r="K70" s="13">
        <v>10000</v>
      </c>
      <c r="L70" s="4" t="s">
        <v>146</v>
      </c>
      <c r="M70" s="9" t="s">
        <v>4</v>
      </c>
      <c r="N70" s="13">
        <v>200</v>
      </c>
      <c r="O70" s="13">
        <v>1438</v>
      </c>
      <c r="P70" s="4" t="s">
        <v>27</v>
      </c>
    </row>
    <row r="71" ht="58" customHeight="1" spans="1:16">
      <c r="A71" s="13">
        <v>65</v>
      </c>
      <c r="B71" s="4" t="s">
        <v>197</v>
      </c>
      <c r="C71" s="4" t="s">
        <v>27</v>
      </c>
      <c r="D71" s="4" t="s">
        <v>27</v>
      </c>
      <c r="E71" s="4" t="s">
        <v>198</v>
      </c>
      <c r="F71" s="13" t="s">
        <v>29</v>
      </c>
      <c r="G71" s="4" t="s">
        <v>199</v>
      </c>
      <c r="H71" s="4" t="s">
        <v>39</v>
      </c>
      <c r="I71" s="4" t="s">
        <v>200</v>
      </c>
      <c r="J71" s="4" t="s">
        <v>201</v>
      </c>
      <c r="K71" s="13">
        <v>10000</v>
      </c>
      <c r="L71" s="4" t="s">
        <v>202</v>
      </c>
      <c r="M71" s="9" t="s">
        <v>4</v>
      </c>
      <c r="N71" s="13">
        <v>200</v>
      </c>
      <c r="O71" s="13">
        <v>630</v>
      </c>
      <c r="P71" s="4" t="s">
        <v>27</v>
      </c>
    </row>
    <row r="72" ht="58" customHeight="1" spans="1:16">
      <c r="A72" s="13">
        <v>66</v>
      </c>
      <c r="B72" s="4" t="s">
        <v>197</v>
      </c>
      <c r="C72" s="4" t="s">
        <v>27</v>
      </c>
      <c r="D72" s="4" t="s">
        <v>27</v>
      </c>
      <c r="E72" s="4" t="s">
        <v>203</v>
      </c>
      <c r="F72" s="13" t="s">
        <v>37</v>
      </c>
      <c r="G72" s="4" t="s">
        <v>204</v>
      </c>
      <c r="H72" s="4" t="s">
        <v>39</v>
      </c>
      <c r="I72" s="4" t="s">
        <v>205</v>
      </c>
      <c r="J72" s="4" t="s">
        <v>27</v>
      </c>
      <c r="K72" s="13">
        <v>10000</v>
      </c>
      <c r="L72" s="4" t="s">
        <v>206</v>
      </c>
      <c r="M72" s="9" t="s">
        <v>4</v>
      </c>
      <c r="N72" s="13">
        <v>200</v>
      </c>
      <c r="O72" s="13">
        <v>751</v>
      </c>
      <c r="P72" s="4" t="s">
        <v>27</v>
      </c>
    </row>
    <row r="73" ht="58" customHeight="1" spans="1:16">
      <c r="A73" s="13">
        <v>67</v>
      </c>
      <c r="B73" s="4" t="s">
        <v>197</v>
      </c>
      <c r="C73" s="4" t="s">
        <v>27</v>
      </c>
      <c r="D73" s="4" t="s">
        <v>27</v>
      </c>
      <c r="E73" s="4" t="s">
        <v>207</v>
      </c>
      <c r="F73" s="13" t="s">
        <v>29</v>
      </c>
      <c r="G73" s="4" t="s">
        <v>208</v>
      </c>
      <c r="H73" s="4" t="s">
        <v>39</v>
      </c>
      <c r="I73" s="4" t="s">
        <v>209</v>
      </c>
      <c r="J73" s="4" t="s">
        <v>210</v>
      </c>
      <c r="K73" s="13">
        <v>10000</v>
      </c>
      <c r="L73" s="4" t="s">
        <v>202</v>
      </c>
      <c r="M73" s="9" t="s">
        <v>4</v>
      </c>
      <c r="N73" s="13">
        <v>200</v>
      </c>
      <c r="O73" s="13">
        <v>256</v>
      </c>
      <c r="P73" s="4" t="s">
        <v>27</v>
      </c>
    </row>
    <row r="74" ht="58" customHeight="1" spans="1:16">
      <c r="A74" s="13">
        <v>68</v>
      </c>
      <c r="B74" s="4" t="s">
        <v>197</v>
      </c>
      <c r="C74" s="4" t="s">
        <v>27</v>
      </c>
      <c r="D74" s="4" t="s">
        <v>27</v>
      </c>
      <c r="E74" s="4" t="s">
        <v>211</v>
      </c>
      <c r="F74" s="13" t="s">
        <v>37</v>
      </c>
      <c r="G74" s="4" t="s">
        <v>212</v>
      </c>
      <c r="H74" s="4" t="s">
        <v>213</v>
      </c>
      <c r="I74" s="4" t="s">
        <v>214</v>
      </c>
      <c r="J74" s="4" t="s">
        <v>27</v>
      </c>
      <c r="K74" s="13">
        <v>10000</v>
      </c>
      <c r="L74" s="4" t="s">
        <v>33</v>
      </c>
      <c r="M74" s="9" t="s">
        <v>4</v>
      </c>
      <c r="N74" s="13">
        <v>200</v>
      </c>
      <c r="O74" s="13">
        <v>322</v>
      </c>
      <c r="P74" s="4" t="s">
        <v>27</v>
      </c>
    </row>
    <row r="75" ht="58" customHeight="1" spans="1:16">
      <c r="A75" s="13">
        <v>69</v>
      </c>
      <c r="B75" s="4" t="s">
        <v>197</v>
      </c>
      <c r="C75" s="4" t="s">
        <v>27</v>
      </c>
      <c r="D75" s="4" t="s">
        <v>27</v>
      </c>
      <c r="E75" s="4" t="s">
        <v>215</v>
      </c>
      <c r="F75" s="13" t="s">
        <v>37</v>
      </c>
      <c r="G75" s="4" t="s">
        <v>216</v>
      </c>
      <c r="H75" s="4" t="s">
        <v>213</v>
      </c>
      <c r="I75" s="4" t="s">
        <v>214</v>
      </c>
      <c r="J75" s="4" t="s">
        <v>27</v>
      </c>
      <c r="K75" s="13">
        <v>10000</v>
      </c>
      <c r="L75" s="4" t="s">
        <v>33</v>
      </c>
      <c r="M75" s="9" t="s">
        <v>4</v>
      </c>
      <c r="N75" s="13">
        <v>200</v>
      </c>
      <c r="O75" s="13">
        <v>1070</v>
      </c>
      <c r="P75" s="4" t="s">
        <v>27</v>
      </c>
    </row>
  </sheetData>
  <autoFilter xmlns:etc="http://www.wps.cn/officeDocument/2017/etCustomData" ref="A6:P75" etc:filterBottomFollowUsedRange="0">
    <extLst/>
  </autoFilter>
  <mergeCells count="4">
    <mergeCell ref="A1:P1"/>
    <mergeCell ref="A2:B2"/>
    <mergeCell ref="C2:D2"/>
    <mergeCell ref="A5:P5"/>
  </mergeCells>
  <pageMargins left="0.7" right="0.7" top="0.75" bottom="0.75" header="0.3" footer="0.3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2"/>
  <sheetViews>
    <sheetView showGridLines="0" workbookViewId="0">
      <pane ySplit="3" topLeftCell="A4" activePane="bottomLeft" state="frozen"/>
      <selection/>
      <selection pane="bottomLeft" activeCell="F9" sqref="F9"/>
    </sheetView>
  </sheetViews>
  <sheetFormatPr defaultColWidth="9" defaultRowHeight="13.5"/>
  <cols>
    <col min="1" max="1" width="10" customWidth="1"/>
    <col min="2" max="2" width="24" customWidth="1"/>
    <col min="3" max="3" width="10" customWidth="1"/>
    <col min="4" max="5" width="16" customWidth="1"/>
    <col min="6" max="6" width="24" customWidth="1"/>
    <col min="7" max="8" width="22" customWidth="1"/>
    <col min="9" max="9" width="12" customWidth="1"/>
    <col min="10" max="10" width="34" customWidth="1"/>
  </cols>
  <sheetData>
    <row r="1" ht="32" customHeight="1" spans="1:10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218</v>
      </c>
      <c r="B3" s="2" t="s">
        <v>219</v>
      </c>
      <c r="C3" s="2" t="s">
        <v>220</v>
      </c>
      <c r="D3" s="2" t="s">
        <v>221</v>
      </c>
      <c r="E3" s="2" t="s">
        <v>222</v>
      </c>
      <c r="F3" s="2" t="s">
        <v>223</v>
      </c>
      <c r="G3" s="2" t="s">
        <v>224</v>
      </c>
      <c r="H3" s="2" t="s">
        <v>225</v>
      </c>
      <c r="I3" s="2" t="s">
        <v>226</v>
      </c>
      <c r="J3" s="2" t="s">
        <v>26</v>
      </c>
    </row>
    <row r="4" ht="34" customHeight="1" spans="1:10">
      <c r="A4" s="3">
        <v>1</v>
      </c>
      <c r="B4" s="4" t="s">
        <v>28</v>
      </c>
      <c r="C4" s="3">
        <v>1</v>
      </c>
      <c r="D4" s="3" t="s">
        <v>227</v>
      </c>
      <c r="E4" s="3" t="s">
        <v>228</v>
      </c>
      <c r="F4" s="4" t="s">
        <v>27</v>
      </c>
      <c r="G4" s="4" t="s">
        <v>229</v>
      </c>
      <c r="H4" s="4" t="s">
        <v>229</v>
      </c>
      <c r="I4" s="5" t="s">
        <v>4</v>
      </c>
      <c r="J4" s="4" t="s">
        <v>34</v>
      </c>
    </row>
    <row r="5" ht="34" customHeight="1" spans="1:10">
      <c r="A5" s="3">
        <v>2</v>
      </c>
      <c r="B5" s="4" t="s">
        <v>36</v>
      </c>
      <c r="C5" s="3">
        <v>1</v>
      </c>
      <c r="D5" s="3" t="s">
        <v>230</v>
      </c>
      <c r="E5" s="3" t="s">
        <v>231</v>
      </c>
      <c r="F5" s="4" t="s">
        <v>27</v>
      </c>
      <c r="G5" s="4" t="s">
        <v>232</v>
      </c>
      <c r="H5" s="4" t="s">
        <v>233</v>
      </c>
      <c r="I5" s="5" t="s">
        <v>4</v>
      </c>
      <c r="J5" s="4" t="s">
        <v>27</v>
      </c>
    </row>
    <row r="6" ht="34" customHeight="1" spans="1:10">
      <c r="A6" s="3">
        <v>3</v>
      </c>
      <c r="B6" s="4" t="s">
        <v>42</v>
      </c>
      <c r="C6" s="3">
        <v>1</v>
      </c>
      <c r="D6" s="3" t="s">
        <v>230</v>
      </c>
      <c r="E6" s="3" t="s">
        <v>231</v>
      </c>
      <c r="F6" s="4" t="s">
        <v>27</v>
      </c>
      <c r="G6" s="4" t="s">
        <v>232</v>
      </c>
      <c r="H6" s="4" t="s">
        <v>234</v>
      </c>
      <c r="I6" s="5" t="s">
        <v>4</v>
      </c>
      <c r="J6" s="4" t="s">
        <v>27</v>
      </c>
    </row>
    <row r="7" ht="34" customHeight="1" spans="1:10">
      <c r="A7" s="3">
        <v>4</v>
      </c>
      <c r="B7" s="4" t="s">
        <v>44</v>
      </c>
      <c r="C7" s="3">
        <v>1</v>
      </c>
      <c r="D7" s="3" t="s">
        <v>230</v>
      </c>
      <c r="E7" s="3" t="s">
        <v>231</v>
      </c>
      <c r="F7" s="4" t="s">
        <v>27</v>
      </c>
      <c r="G7" s="4" t="s">
        <v>232</v>
      </c>
      <c r="H7" s="4" t="s">
        <v>235</v>
      </c>
      <c r="I7" s="5" t="s">
        <v>4</v>
      </c>
      <c r="J7" s="4" t="s">
        <v>27</v>
      </c>
    </row>
    <row r="8" ht="34" customHeight="1" spans="1:10">
      <c r="A8" s="3">
        <v>5</v>
      </c>
      <c r="B8" s="4" t="s">
        <v>47</v>
      </c>
      <c r="C8" s="3">
        <v>1</v>
      </c>
      <c r="D8" s="3" t="s">
        <v>230</v>
      </c>
      <c r="E8" s="3" t="s">
        <v>231</v>
      </c>
      <c r="F8" s="4" t="s">
        <v>27</v>
      </c>
      <c r="G8" s="4" t="s">
        <v>232</v>
      </c>
      <c r="H8" s="4" t="s">
        <v>236</v>
      </c>
      <c r="I8" s="5" t="s">
        <v>4</v>
      </c>
      <c r="J8" s="4" t="s">
        <v>27</v>
      </c>
    </row>
    <row r="9" ht="34" customHeight="1" spans="1:10">
      <c r="A9" s="3">
        <v>6</v>
      </c>
      <c r="B9" s="4" t="s">
        <v>50</v>
      </c>
      <c r="C9" s="3">
        <v>1</v>
      </c>
      <c r="D9" s="3" t="s">
        <v>230</v>
      </c>
      <c r="E9" s="3" t="s">
        <v>231</v>
      </c>
      <c r="F9" s="4" t="s">
        <v>27</v>
      </c>
      <c r="G9" s="4" t="s">
        <v>232</v>
      </c>
      <c r="H9" s="4" t="s">
        <v>237</v>
      </c>
      <c r="I9" s="5" t="s">
        <v>4</v>
      </c>
      <c r="J9" s="4" t="s">
        <v>27</v>
      </c>
    </row>
    <row r="10" ht="34" customHeight="1" spans="1:10">
      <c r="A10" s="3">
        <v>7</v>
      </c>
      <c r="B10" s="4" t="s">
        <v>53</v>
      </c>
      <c r="C10" s="3">
        <v>1</v>
      </c>
      <c r="D10" s="3" t="s">
        <v>230</v>
      </c>
      <c r="E10" s="3" t="s">
        <v>231</v>
      </c>
      <c r="F10" s="4" t="s">
        <v>27</v>
      </c>
      <c r="G10" s="4" t="s">
        <v>232</v>
      </c>
      <c r="H10" s="4" t="s">
        <v>238</v>
      </c>
      <c r="I10" s="5" t="s">
        <v>4</v>
      </c>
      <c r="J10" s="4" t="s">
        <v>27</v>
      </c>
    </row>
    <row r="11" ht="34" customHeight="1" spans="1:10">
      <c r="A11" s="3">
        <v>8</v>
      </c>
      <c r="B11" s="4" t="s">
        <v>56</v>
      </c>
      <c r="C11" s="3">
        <v>1</v>
      </c>
      <c r="D11" s="3" t="s">
        <v>230</v>
      </c>
      <c r="E11" s="3" t="s">
        <v>231</v>
      </c>
      <c r="F11" s="4" t="s">
        <v>27</v>
      </c>
      <c r="G11" s="4" t="s">
        <v>239</v>
      </c>
      <c r="H11" s="4" t="s">
        <v>240</v>
      </c>
      <c r="I11" s="5" t="s">
        <v>4</v>
      </c>
      <c r="J11" s="4" t="s">
        <v>27</v>
      </c>
    </row>
    <row r="12" ht="34" customHeight="1" spans="1:10">
      <c r="A12" s="3">
        <v>9</v>
      </c>
      <c r="B12" s="4" t="s">
        <v>60</v>
      </c>
      <c r="C12" s="3">
        <v>1</v>
      </c>
      <c r="D12" s="3" t="s">
        <v>230</v>
      </c>
      <c r="E12" s="3" t="s">
        <v>231</v>
      </c>
      <c r="F12" s="4" t="s">
        <v>27</v>
      </c>
      <c r="G12" s="4" t="s">
        <v>232</v>
      </c>
      <c r="H12" s="4" t="s">
        <v>241</v>
      </c>
      <c r="I12" s="5" t="s">
        <v>4</v>
      </c>
      <c r="J12" s="4" t="s">
        <v>27</v>
      </c>
    </row>
    <row r="13" ht="34" customHeight="1" spans="1:10">
      <c r="A13" s="3">
        <v>10</v>
      </c>
      <c r="B13" s="4" t="s">
        <v>63</v>
      </c>
      <c r="C13" s="3">
        <v>1</v>
      </c>
      <c r="D13" s="3" t="s">
        <v>230</v>
      </c>
      <c r="E13" s="3" t="s">
        <v>231</v>
      </c>
      <c r="F13" s="4" t="s">
        <v>27</v>
      </c>
      <c r="G13" s="4" t="s">
        <v>232</v>
      </c>
      <c r="H13" s="4" t="s">
        <v>242</v>
      </c>
      <c r="I13" s="5" t="s">
        <v>4</v>
      </c>
      <c r="J13" s="4" t="s">
        <v>27</v>
      </c>
    </row>
    <row r="14" ht="34" customHeight="1" spans="1:10">
      <c r="A14" s="3">
        <v>11</v>
      </c>
      <c r="B14" s="4" t="s">
        <v>65</v>
      </c>
      <c r="C14" s="3">
        <v>1</v>
      </c>
      <c r="D14" s="3" t="s">
        <v>230</v>
      </c>
      <c r="E14" s="3" t="s">
        <v>231</v>
      </c>
      <c r="F14" s="4" t="s">
        <v>27</v>
      </c>
      <c r="G14" s="4" t="s">
        <v>232</v>
      </c>
      <c r="H14" s="4" t="s">
        <v>243</v>
      </c>
      <c r="I14" s="5" t="s">
        <v>4</v>
      </c>
      <c r="J14" s="4" t="s">
        <v>27</v>
      </c>
    </row>
    <row r="15" ht="34" customHeight="1" spans="1:10">
      <c r="A15" s="3">
        <v>12</v>
      </c>
      <c r="B15" s="4" t="s">
        <v>67</v>
      </c>
      <c r="C15" s="3">
        <v>1</v>
      </c>
      <c r="D15" s="3" t="s">
        <v>230</v>
      </c>
      <c r="E15" s="3" t="s">
        <v>231</v>
      </c>
      <c r="F15" s="4" t="s">
        <v>27</v>
      </c>
      <c r="G15" s="4" t="s">
        <v>232</v>
      </c>
      <c r="H15" s="4" t="s">
        <v>244</v>
      </c>
      <c r="I15" s="5" t="s">
        <v>4</v>
      </c>
      <c r="J15" s="4" t="s">
        <v>27</v>
      </c>
    </row>
    <row r="16" ht="34" customHeight="1" spans="1:10">
      <c r="A16" s="3">
        <v>13</v>
      </c>
      <c r="B16" s="4" t="s">
        <v>70</v>
      </c>
      <c r="C16" s="3">
        <v>1</v>
      </c>
      <c r="D16" s="3" t="s">
        <v>230</v>
      </c>
      <c r="E16" s="3" t="s">
        <v>231</v>
      </c>
      <c r="F16" s="4" t="s">
        <v>27</v>
      </c>
      <c r="G16" s="4" t="s">
        <v>232</v>
      </c>
      <c r="H16" s="4" t="s">
        <v>245</v>
      </c>
      <c r="I16" s="5" t="s">
        <v>4</v>
      </c>
      <c r="J16" s="4" t="s">
        <v>27</v>
      </c>
    </row>
    <row r="17" ht="34" customHeight="1" spans="1:10">
      <c r="A17" s="3">
        <v>14</v>
      </c>
      <c r="B17" s="4" t="s">
        <v>73</v>
      </c>
      <c r="C17" s="3">
        <v>1</v>
      </c>
      <c r="D17" s="3" t="s">
        <v>230</v>
      </c>
      <c r="E17" s="3" t="s">
        <v>231</v>
      </c>
      <c r="F17" s="4" t="s">
        <v>27</v>
      </c>
      <c r="G17" s="4" t="s">
        <v>232</v>
      </c>
      <c r="H17" s="4" t="s">
        <v>246</v>
      </c>
      <c r="I17" s="5" t="s">
        <v>4</v>
      </c>
      <c r="J17" s="4" t="s">
        <v>27</v>
      </c>
    </row>
    <row r="18" ht="34" customHeight="1" spans="1:10">
      <c r="A18" s="3">
        <v>15</v>
      </c>
      <c r="B18" s="4" t="s">
        <v>74</v>
      </c>
      <c r="C18" s="3">
        <v>1</v>
      </c>
      <c r="D18" s="3" t="s">
        <v>230</v>
      </c>
      <c r="E18" s="3" t="s">
        <v>231</v>
      </c>
      <c r="F18" s="4" t="s">
        <v>27</v>
      </c>
      <c r="G18" s="4" t="s">
        <v>232</v>
      </c>
      <c r="H18" s="4" t="s">
        <v>247</v>
      </c>
      <c r="I18" s="5" t="s">
        <v>4</v>
      </c>
      <c r="J18" s="4" t="s">
        <v>27</v>
      </c>
    </row>
    <row r="19" ht="34" customHeight="1" spans="1:10">
      <c r="A19" s="3">
        <v>16</v>
      </c>
      <c r="B19" s="4" t="s">
        <v>76</v>
      </c>
      <c r="C19" s="3">
        <v>1</v>
      </c>
      <c r="D19" s="3" t="s">
        <v>230</v>
      </c>
      <c r="E19" s="3" t="s">
        <v>231</v>
      </c>
      <c r="F19" s="4" t="s">
        <v>27</v>
      </c>
      <c r="G19" s="4" t="s">
        <v>232</v>
      </c>
      <c r="H19" s="4" t="s">
        <v>238</v>
      </c>
      <c r="I19" s="5" t="s">
        <v>4</v>
      </c>
      <c r="J19" s="4" t="s">
        <v>27</v>
      </c>
    </row>
    <row r="20" ht="34" customHeight="1" spans="1:10">
      <c r="A20" s="3">
        <v>17</v>
      </c>
      <c r="B20" s="4" t="s">
        <v>77</v>
      </c>
      <c r="C20" s="3">
        <v>1</v>
      </c>
      <c r="D20" s="3" t="s">
        <v>230</v>
      </c>
      <c r="E20" s="3" t="s">
        <v>231</v>
      </c>
      <c r="F20" s="4" t="s">
        <v>27</v>
      </c>
      <c r="G20" s="4" t="s">
        <v>232</v>
      </c>
      <c r="H20" s="4" t="s">
        <v>243</v>
      </c>
      <c r="I20" s="5" t="s">
        <v>4</v>
      </c>
      <c r="J20" s="4" t="s">
        <v>27</v>
      </c>
    </row>
    <row r="21" ht="34" customHeight="1" spans="1:10">
      <c r="A21" s="3">
        <v>18</v>
      </c>
      <c r="B21" s="4" t="s">
        <v>78</v>
      </c>
      <c r="C21" s="3">
        <v>1</v>
      </c>
      <c r="D21" s="3" t="s">
        <v>230</v>
      </c>
      <c r="E21" s="3" t="s">
        <v>231</v>
      </c>
      <c r="F21" s="4" t="s">
        <v>27</v>
      </c>
      <c r="G21" s="4" t="s">
        <v>232</v>
      </c>
      <c r="H21" s="4" t="s">
        <v>236</v>
      </c>
      <c r="I21" s="5" t="s">
        <v>4</v>
      </c>
      <c r="J21" s="4" t="s">
        <v>27</v>
      </c>
    </row>
    <row r="22" ht="34" customHeight="1" spans="1:10">
      <c r="A22" s="3">
        <v>19</v>
      </c>
      <c r="B22" s="4" t="s">
        <v>80</v>
      </c>
      <c r="C22" s="3">
        <v>1</v>
      </c>
      <c r="D22" s="3" t="s">
        <v>230</v>
      </c>
      <c r="E22" s="3" t="s">
        <v>231</v>
      </c>
      <c r="F22" s="4" t="s">
        <v>27</v>
      </c>
      <c r="G22" s="4" t="s">
        <v>232</v>
      </c>
      <c r="H22" s="4" t="s">
        <v>248</v>
      </c>
      <c r="I22" s="5" t="s">
        <v>4</v>
      </c>
      <c r="J22" s="4" t="s">
        <v>27</v>
      </c>
    </row>
    <row r="23" ht="34" customHeight="1" spans="1:10">
      <c r="A23" s="3">
        <v>20</v>
      </c>
      <c r="B23" s="4" t="s">
        <v>82</v>
      </c>
      <c r="C23" s="3">
        <v>1</v>
      </c>
      <c r="D23" s="3" t="s">
        <v>230</v>
      </c>
      <c r="E23" s="3" t="s">
        <v>231</v>
      </c>
      <c r="F23" s="4" t="s">
        <v>27</v>
      </c>
      <c r="G23" s="4" t="s">
        <v>232</v>
      </c>
      <c r="H23" s="4" t="s">
        <v>249</v>
      </c>
      <c r="I23" s="5" t="s">
        <v>4</v>
      </c>
      <c r="J23" s="4" t="s">
        <v>27</v>
      </c>
    </row>
    <row r="24" ht="34" customHeight="1" spans="1:10">
      <c r="A24" s="3">
        <v>21</v>
      </c>
      <c r="B24" s="4" t="s">
        <v>84</v>
      </c>
      <c r="C24" s="3">
        <v>1</v>
      </c>
      <c r="D24" s="3" t="s">
        <v>230</v>
      </c>
      <c r="E24" s="3" t="s">
        <v>231</v>
      </c>
      <c r="F24" s="4" t="s">
        <v>27</v>
      </c>
      <c r="G24" s="4" t="s">
        <v>232</v>
      </c>
      <c r="H24" s="4" t="s">
        <v>250</v>
      </c>
      <c r="I24" s="5" t="s">
        <v>4</v>
      </c>
      <c r="J24" s="4" t="s">
        <v>27</v>
      </c>
    </row>
    <row r="25" ht="34" customHeight="1" spans="1:10">
      <c r="A25" s="3">
        <v>22</v>
      </c>
      <c r="B25" s="4" t="s">
        <v>86</v>
      </c>
      <c r="C25" s="3">
        <v>1</v>
      </c>
      <c r="D25" s="3" t="s">
        <v>230</v>
      </c>
      <c r="E25" s="3" t="s">
        <v>231</v>
      </c>
      <c r="F25" s="4" t="s">
        <v>27</v>
      </c>
      <c r="G25" s="4" t="s">
        <v>239</v>
      </c>
      <c r="H25" s="4" t="s">
        <v>251</v>
      </c>
      <c r="I25" s="5" t="s">
        <v>4</v>
      </c>
      <c r="J25" s="4" t="s">
        <v>27</v>
      </c>
    </row>
    <row r="26" ht="34" customHeight="1" spans="1:10">
      <c r="A26" s="3">
        <v>23</v>
      </c>
      <c r="B26" s="4" t="s">
        <v>89</v>
      </c>
      <c r="C26" s="3">
        <v>1</v>
      </c>
      <c r="D26" s="3" t="s">
        <v>230</v>
      </c>
      <c r="E26" s="3" t="s">
        <v>231</v>
      </c>
      <c r="F26" s="4" t="s">
        <v>27</v>
      </c>
      <c r="G26" s="4" t="s">
        <v>239</v>
      </c>
      <c r="H26" s="4" t="s">
        <v>252</v>
      </c>
      <c r="I26" s="5" t="s">
        <v>4</v>
      </c>
      <c r="J26" s="4" t="s">
        <v>27</v>
      </c>
    </row>
    <row r="27" ht="34" customHeight="1" spans="1:10">
      <c r="A27" s="3">
        <v>24</v>
      </c>
      <c r="B27" s="4" t="s">
        <v>91</v>
      </c>
      <c r="C27" s="3">
        <v>1</v>
      </c>
      <c r="D27" s="3" t="s">
        <v>230</v>
      </c>
      <c r="E27" s="3" t="s">
        <v>231</v>
      </c>
      <c r="F27" s="4" t="s">
        <v>27</v>
      </c>
      <c r="G27" s="4" t="s">
        <v>239</v>
      </c>
      <c r="H27" s="4" t="s">
        <v>253</v>
      </c>
      <c r="I27" s="5" t="s">
        <v>4</v>
      </c>
      <c r="J27" s="4" t="s">
        <v>27</v>
      </c>
    </row>
    <row r="28" ht="34" customHeight="1" spans="1:10">
      <c r="A28" s="3">
        <v>25</v>
      </c>
      <c r="B28" s="4" t="s">
        <v>93</v>
      </c>
      <c r="C28" s="3">
        <v>1</v>
      </c>
      <c r="D28" s="3" t="s">
        <v>230</v>
      </c>
      <c r="E28" s="3" t="s">
        <v>231</v>
      </c>
      <c r="F28" s="4" t="s">
        <v>27</v>
      </c>
      <c r="G28" s="4" t="s">
        <v>239</v>
      </c>
      <c r="H28" s="4" t="s">
        <v>240</v>
      </c>
      <c r="I28" s="5" t="s">
        <v>4</v>
      </c>
      <c r="J28" s="4" t="s">
        <v>27</v>
      </c>
    </row>
    <row r="29" ht="34" customHeight="1" spans="1:10">
      <c r="A29" s="3">
        <v>26</v>
      </c>
      <c r="B29" s="4" t="s">
        <v>94</v>
      </c>
      <c r="C29" s="3">
        <v>1</v>
      </c>
      <c r="D29" s="3" t="s">
        <v>230</v>
      </c>
      <c r="E29" s="3" t="s">
        <v>231</v>
      </c>
      <c r="F29" s="4" t="s">
        <v>27</v>
      </c>
      <c r="G29" s="4" t="s">
        <v>239</v>
      </c>
      <c r="H29" s="4" t="s">
        <v>253</v>
      </c>
      <c r="I29" s="5" t="s">
        <v>4</v>
      </c>
      <c r="J29" s="4" t="s">
        <v>27</v>
      </c>
    </row>
    <row r="30" ht="34" customHeight="1" spans="1:10">
      <c r="A30" s="3">
        <v>27</v>
      </c>
      <c r="B30" s="4" t="s">
        <v>95</v>
      </c>
      <c r="C30" s="3">
        <v>1</v>
      </c>
      <c r="D30" s="3" t="s">
        <v>230</v>
      </c>
      <c r="E30" s="3" t="s">
        <v>231</v>
      </c>
      <c r="F30" s="4" t="s">
        <v>27</v>
      </c>
      <c r="G30" s="4" t="s">
        <v>239</v>
      </c>
      <c r="H30" s="4" t="s">
        <v>254</v>
      </c>
      <c r="I30" s="5" t="s">
        <v>4</v>
      </c>
      <c r="J30" s="4" t="s">
        <v>27</v>
      </c>
    </row>
    <row r="31" ht="34" customHeight="1" spans="1:10">
      <c r="A31" s="3">
        <v>28</v>
      </c>
      <c r="B31" s="4" t="s">
        <v>99</v>
      </c>
      <c r="C31" s="3">
        <v>1</v>
      </c>
      <c r="D31" s="3" t="s">
        <v>230</v>
      </c>
      <c r="E31" s="3" t="s">
        <v>231</v>
      </c>
      <c r="F31" s="4" t="s">
        <v>27</v>
      </c>
      <c r="G31" s="4" t="s">
        <v>232</v>
      </c>
      <c r="H31" s="4" t="s">
        <v>255</v>
      </c>
      <c r="I31" s="5" t="s">
        <v>4</v>
      </c>
      <c r="J31" s="4" t="s">
        <v>27</v>
      </c>
    </row>
    <row r="32" ht="34" customHeight="1" spans="1:10">
      <c r="A32" s="3">
        <v>29</v>
      </c>
      <c r="B32" s="4" t="s">
        <v>102</v>
      </c>
      <c r="C32" s="3">
        <v>1</v>
      </c>
      <c r="D32" s="3" t="s">
        <v>230</v>
      </c>
      <c r="E32" s="3" t="s">
        <v>231</v>
      </c>
      <c r="F32" s="4" t="s">
        <v>27</v>
      </c>
      <c r="G32" s="4" t="s">
        <v>232</v>
      </c>
      <c r="H32" s="4" t="s">
        <v>256</v>
      </c>
      <c r="I32" s="5" t="s">
        <v>4</v>
      </c>
      <c r="J32" s="4" t="s">
        <v>27</v>
      </c>
    </row>
    <row r="33" ht="34" customHeight="1" spans="1:10">
      <c r="A33" s="3">
        <v>30</v>
      </c>
      <c r="B33" s="4" t="s">
        <v>105</v>
      </c>
      <c r="C33" s="3">
        <v>1</v>
      </c>
      <c r="D33" s="3" t="s">
        <v>230</v>
      </c>
      <c r="E33" s="3" t="s">
        <v>231</v>
      </c>
      <c r="F33" s="4" t="s">
        <v>27</v>
      </c>
      <c r="G33" s="4" t="s">
        <v>232</v>
      </c>
      <c r="H33" s="4" t="s">
        <v>257</v>
      </c>
      <c r="I33" s="5" t="s">
        <v>4</v>
      </c>
      <c r="J33" s="4" t="s">
        <v>27</v>
      </c>
    </row>
    <row r="34" ht="34" customHeight="1" spans="1:10">
      <c r="A34" s="3">
        <v>31</v>
      </c>
      <c r="B34" s="4" t="s">
        <v>108</v>
      </c>
      <c r="C34" s="3">
        <v>1</v>
      </c>
      <c r="D34" s="3" t="s">
        <v>230</v>
      </c>
      <c r="E34" s="3" t="s">
        <v>231</v>
      </c>
      <c r="F34" s="4" t="s">
        <v>27</v>
      </c>
      <c r="G34" s="4" t="s">
        <v>232</v>
      </c>
      <c r="H34" s="4" t="s">
        <v>258</v>
      </c>
      <c r="I34" s="5" t="s">
        <v>4</v>
      </c>
      <c r="J34" s="4" t="s">
        <v>27</v>
      </c>
    </row>
    <row r="35" ht="34" customHeight="1" spans="1:10">
      <c r="A35" s="3">
        <v>32</v>
      </c>
      <c r="B35" s="4" t="s">
        <v>111</v>
      </c>
      <c r="C35" s="3">
        <v>1</v>
      </c>
      <c r="D35" s="3" t="s">
        <v>230</v>
      </c>
      <c r="E35" s="3" t="s">
        <v>231</v>
      </c>
      <c r="F35" s="4" t="s">
        <v>27</v>
      </c>
      <c r="G35" s="4" t="s">
        <v>232</v>
      </c>
      <c r="H35" s="4" t="s">
        <v>259</v>
      </c>
      <c r="I35" s="5" t="s">
        <v>4</v>
      </c>
      <c r="J35" s="4" t="s">
        <v>27</v>
      </c>
    </row>
    <row r="36" ht="34" customHeight="1" spans="1:10">
      <c r="A36" s="3">
        <v>33</v>
      </c>
      <c r="B36" s="4" t="s">
        <v>114</v>
      </c>
      <c r="C36" s="3">
        <v>1</v>
      </c>
      <c r="D36" s="3" t="s">
        <v>230</v>
      </c>
      <c r="E36" s="3" t="s">
        <v>231</v>
      </c>
      <c r="F36" s="4" t="s">
        <v>27</v>
      </c>
      <c r="G36" s="4" t="s">
        <v>232</v>
      </c>
      <c r="H36" s="4" t="s">
        <v>260</v>
      </c>
      <c r="I36" s="5" t="s">
        <v>4</v>
      </c>
      <c r="J36" s="4" t="s">
        <v>27</v>
      </c>
    </row>
    <row r="37" ht="34" customHeight="1" spans="1:10">
      <c r="A37" s="3">
        <v>34</v>
      </c>
      <c r="B37" s="4" t="s">
        <v>117</v>
      </c>
      <c r="C37" s="3">
        <v>1</v>
      </c>
      <c r="D37" s="3" t="s">
        <v>230</v>
      </c>
      <c r="E37" s="3" t="s">
        <v>231</v>
      </c>
      <c r="F37" s="4" t="s">
        <v>27</v>
      </c>
      <c r="G37" s="4" t="s">
        <v>239</v>
      </c>
      <c r="H37" s="4" t="s">
        <v>261</v>
      </c>
      <c r="I37" s="5" t="s">
        <v>4</v>
      </c>
      <c r="J37" s="4" t="s">
        <v>27</v>
      </c>
    </row>
    <row r="38" ht="34" customHeight="1" spans="1:10">
      <c r="A38" s="3">
        <v>35</v>
      </c>
      <c r="B38" s="4" t="s">
        <v>120</v>
      </c>
      <c r="C38" s="3">
        <v>1</v>
      </c>
      <c r="D38" s="3" t="s">
        <v>230</v>
      </c>
      <c r="E38" s="3" t="s">
        <v>231</v>
      </c>
      <c r="F38" s="4" t="s">
        <v>27</v>
      </c>
      <c r="G38" s="4" t="s">
        <v>239</v>
      </c>
      <c r="H38" s="4" t="s">
        <v>262</v>
      </c>
      <c r="I38" s="5" t="s">
        <v>4</v>
      </c>
      <c r="J38" s="4" t="s">
        <v>27</v>
      </c>
    </row>
    <row r="39" ht="34" customHeight="1" spans="1:10">
      <c r="A39" s="3">
        <v>36</v>
      </c>
      <c r="B39" s="4" t="s">
        <v>123</v>
      </c>
      <c r="C39" s="3">
        <v>1</v>
      </c>
      <c r="D39" s="3" t="s">
        <v>230</v>
      </c>
      <c r="E39" s="3" t="s">
        <v>231</v>
      </c>
      <c r="F39" s="4" t="s">
        <v>27</v>
      </c>
      <c r="G39" s="4" t="s">
        <v>232</v>
      </c>
      <c r="H39" s="4" t="s">
        <v>263</v>
      </c>
      <c r="I39" s="5" t="s">
        <v>4</v>
      </c>
      <c r="J39" s="4" t="s">
        <v>27</v>
      </c>
    </row>
    <row r="40" ht="34" customHeight="1" spans="1:10">
      <c r="A40" s="3">
        <v>37</v>
      </c>
      <c r="B40" s="4" t="s">
        <v>126</v>
      </c>
      <c r="C40" s="3">
        <v>1</v>
      </c>
      <c r="D40" s="3" t="s">
        <v>230</v>
      </c>
      <c r="E40" s="3" t="s">
        <v>231</v>
      </c>
      <c r="F40" s="4" t="s">
        <v>27</v>
      </c>
      <c r="G40" s="4" t="s">
        <v>232</v>
      </c>
      <c r="H40" s="4" t="s">
        <v>264</v>
      </c>
      <c r="I40" s="5" t="s">
        <v>4</v>
      </c>
      <c r="J40" s="4" t="s">
        <v>27</v>
      </c>
    </row>
    <row r="41" ht="34" customHeight="1" spans="1:10">
      <c r="A41" s="3">
        <v>38</v>
      </c>
      <c r="B41" s="4" t="s">
        <v>129</v>
      </c>
      <c r="C41" s="3">
        <v>1</v>
      </c>
      <c r="D41" s="3" t="s">
        <v>230</v>
      </c>
      <c r="E41" s="3" t="s">
        <v>231</v>
      </c>
      <c r="F41" s="4" t="s">
        <v>27</v>
      </c>
      <c r="G41" s="4" t="s">
        <v>232</v>
      </c>
      <c r="H41" s="4" t="s">
        <v>236</v>
      </c>
      <c r="I41" s="5" t="s">
        <v>4</v>
      </c>
      <c r="J41" s="4" t="s">
        <v>27</v>
      </c>
    </row>
    <row r="42" ht="34" customHeight="1" spans="1:10">
      <c r="A42" s="3">
        <v>39</v>
      </c>
      <c r="B42" s="4" t="s">
        <v>130</v>
      </c>
      <c r="C42" s="3">
        <v>1</v>
      </c>
      <c r="D42" s="3" t="s">
        <v>230</v>
      </c>
      <c r="E42" s="3" t="s">
        <v>231</v>
      </c>
      <c r="F42" s="4" t="s">
        <v>27</v>
      </c>
      <c r="G42" s="4" t="s">
        <v>232</v>
      </c>
      <c r="H42" s="4" t="s">
        <v>265</v>
      </c>
      <c r="I42" s="5" t="s">
        <v>4</v>
      </c>
      <c r="J42" s="4" t="s">
        <v>27</v>
      </c>
    </row>
    <row r="43" ht="34" customHeight="1" spans="1:10">
      <c r="A43" s="3">
        <v>40</v>
      </c>
      <c r="B43" s="4" t="s">
        <v>134</v>
      </c>
      <c r="C43" s="3">
        <v>1</v>
      </c>
      <c r="D43" s="3" t="s">
        <v>230</v>
      </c>
      <c r="E43" s="3" t="s">
        <v>231</v>
      </c>
      <c r="F43" s="4" t="s">
        <v>27</v>
      </c>
      <c r="G43" s="4" t="s">
        <v>232</v>
      </c>
      <c r="H43" s="4" t="s">
        <v>266</v>
      </c>
      <c r="I43" s="5" t="s">
        <v>4</v>
      </c>
      <c r="J43" s="4" t="s">
        <v>27</v>
      </c>
    </row>
    <row r="44" ht="34" customHeight="1" spans="1:10">
      <c r="A44" s="3">
        <v>41</v>
      </c>
      <c r="B44" s="4" t="s">
        <v>137</v>
      </c>
      <c r="C44" s="3">
        <v>1</v>
      </c>
      <c r="D44" s="3" t="s">
        <v>230</v>
      </c>
      <c r="E44" s="3" t="s">
        <v>231</v>
      </c>
      <c r="F44" s="4" t="s">
        <v>27</v>
      </c>
      <c r="G44" s="4" t="s">
        <v>232</v>
      </c>
      <c r="H44" s="4" t="s">
        <v>267</v>
      </c>
      <c r="I44" s="5" t="s">
        <v>4</v>
      </c>
      <c r="J44" s="4" t="s">
        <v>27</v>
      </c>
    </row>
    <row r="45" ht="34" customHeight="1" spans="1:10">
      <c r="A45" s="3">
        <v>42</v>
      </c>
      <c r="B45" s="4" t="s">
        <v>140</v>
      </c>
      <c r="C45" s="3">
        <v>1</v>
      </c>
      <c r="D45" s="3" t="s">
        <v>230</v>
      </c>
      <c r="E45" s="3" t="s">
        <v>231</v>
      </c>
      <c r="F45" s="4" t="s">
        <v>27</v>
      </c>
      <c r="G45" s="4" t="s">
        <v>232</v>
      </c>
      <c r="H45" s="4" t="s">
        <v>268</v>
      </c>
      <c r="I45" s="5" t="s">
        <v>4</v>
      </c>
      <c r="J45" s="4" t="s">
        <v>27</v>
      </c>
    </row>
    <row r="46" ht="34" customHeight="1" spans="1:10">
      <c r="A46" s="3">
        <v>43</v>
      </c>
      <c r="B46" s="4" t="s">
        <v>143</v>
      </c>
      <c r="C46" s="3">
        <v>1</v>
      </c>
      <c r="D46" s="3" t="s">
        <v>230</v>
      </c>
      <c r="E46" s="3" t="s">
        <v>231</v>
      </c>
      <c r="F46" s="4" t="s">
        <v>27</v>
      </c>
      <c r="G46" s="4" t="s">
        <v>269</v>
      </c>
      <c r="H46" s="4" t="s">
        <v>270</v>
      </c>
      <c r="I46" s="5" t="s">
        <v>4</v>
      </c>
      <c r="J46" s="4" t="s">
        <v>27</v>
      </c>
    </row>
    <row r="47" ht="34" customHeight="1" spans="1:10">
      <c r="A47" s="3">
        <v>44</v>
      </c>
      <c r="B47" s="4" t="s">
        <v>147</v>
      </c>
      <c r="C47" s="3">
        <v>1</v>
      </c>
      <c r="D47" s="3" t="s">
        <v>230</v>
      </c>
      <c r="E47" s="3" t="s">
        <v>231</v>
      </c>
      <c r="F47" s="4" t="s">
        <v>27</v>
      </c>
      <c r="G47" s="4" t="s">
        <v>269</v>
      </c>
      <c r="H47" s="4" t="s">
        <v>271</v>
      </c>
      <c r="I47" s="5" t="s">
        <v>4</v>
      </c>
      <c r="J47" s="4" t="s">
        <v>27</v>
      </c>
    </row>
    <row r="48" ht="34" customHeight="1" spans="1:10">
      <c r="A48" s="3">
        <v>45</v>
      </c>
      <c r="B48" s="4" t="s">
        <v>150</v>
      </c>
      <c r="C48" s="3">
        <v>1</v>
      </c>
      <c r="D48" s="3" t="s">
        <v>230</v>
      </c>
      <c r="E48" s="3" t="s">
        <v>231</v>
      </c>
      <c r="F48" s="4" t="s">
        <v>27</v>
      </c>
      <c r="G48" s="4" t="s">
        <v>232</v>
      </c>
      <c r="H48" s="4" t="s">
        <v>272</v>
      </c>
      <c r="I48" s="5" t="s">
        <v>4</v>
      </c>
      <c r="J48" s="4" t="s">
        <v>27</v>
      </c>
    </row>
    <row r="49" ht="34" customHeight="1" spans="1:10">
      <c r="A49" s="3">
        <v>46</v>
      </c>
      <c r="B49" s="4" t="s">
        <v>153</v>
      </c>
      <c r="C49" s="3">
        <v>1</v>
      </c>
      <c r="D49" s="3" t="s">
        <v>230</v>
      </c>
      <c r="E49" s="3" t="s">
        <v>231</v>
      </c>
      <c r="F49" s="4" t="s">
        <v>27</v>
      </c>
      <c r="G49" s="4" t="s">
        <v>269</v>
      </c>
      <c r="H49" s="4" t="s">
        <v>273</v>
      </c>
      <c r="I49" s="5" t="s">
        <v>4</v>
      </c>
      <c r="J49" s="4" t="s">
        <v>27</v>
      </c>
    </row>
    <row r="50" ht="34" customHeight="1" spans="1:10">
      <c r="A50" s="3">
        <v>47</v>
      </c>
      <c r="B50" s="4" t="s">
        <v>156</v>
      </c>
      <c r="C50" s="3">
        <v>1</v>
      </c>
      <c r="D50" s="3" t="s">
        <v>230</v>
      </c>
      <c r="E50" s="3" t="s">
        <v>231</v>
      </c>
      <c r="F50" s="4" t="s">
        <v>27</v>
      </c>
      <c r="G50" s="4" t="s">
        <v>232</v>
      </c>
      <c r="H50" s="4" t="s">
        <v>274</v>
      </c>
      <c r="I50" s="5" t="s">
        <v>4</v>
      </c>
      <c r="J50" s="4" t="s">
        <v>27</v>
      </c>
    </row>
    <row r="51" ht="34" customHeight="1" spans="1:10">
      <c r="A51" s="3">
        <v>48</v>
      </c>
      <c r="B51" s="4" t="s">
        <v>159</v>
      </c>
      <c r="C51" s="3">
        <v>1</v>
      </c>
      <c r="D51" s="3" t="s">
        <v>230</v>
      </c>
      <c r="E51" s="3" t="s">
        <v>231</v>
      </c>
      <c r="F51" s="4" t="s">
        <v>27</v>
      </c>
      <c r="G51" s="4" t="s">
        <v>232</v>
      </c>
      <c r="H51" s="4" t="s">
        <v>275</v>
      </c>
      <c r="I51" s="5" t="s">
        <v>4</v>
      </c>
      <c r="J51" s="4" t="s">
        <v>27</v>
      </c>
    </row>
    <row r="52" ht="34" customHeight="1" spans="1:10">
      <c r="A52" s="3">
        <v>49</v>
      </c>
      <c r="B52" s="4" t="s">
        <v>162</v>
      </c>
      <c r="C52" s="3">
        <v>1</v>
      </c>
      <c r="D52" s="3" t="s">
        <v>230</v>
      </c>
      <c r="E52" s="3" t="s">
        <v>231</v>
      </c>
      <c r="F52" s="4" t="s">
        <v>27</v>
      </c>
      <c r="G52" s="4" t="s">
        <v>269</v>
      </c>
      <c r="H52" s="4" t="s">
        <v>276</v>
      </c>
      <c r="I52" s="5" t="s">
        <v>4</v>
      </c>
      <c r="J52" s="4" t="s">
        <v>27</v>
      </c>
    </row>
    <row r="53" ht="34" customHeight="1" spans="1:10">
      <c r="A53" s="3">
        <v>50</v>
      </c>
      <c r="B53" s="4" t="s">
        <v>165</v>
      </c>
      <c r="C53" s="3">
        <v>1</v>
      </c>
      <c r="D53" s="3" t="s">
        <v>230</v>
      </c>
      <c r="E53" s="3" t="s">
        <v>231</v>
      </c>
      <c r="F53" s="4" t="s">
        <v>27</v>
      </c>
      <c r="G53" s="4" t="s">
        <v>269</v>
      </c>
      <c r="H53" s="4" t="s">
        <v>277</v>
      </c>
      <c r="I53" s="5" t="s">
        <v>4</v>
      </c>
      <c r="J53" s="4" t="s">
        <v>27</v>
      </c>
    </row>
    <row r="54" ht="34" customHeight="1" spans="1:10">
      <c r="A54" s="3">
        <v>51</v>
      </c>
      <c r="B54" s="4" t="s">
        <v>168</v>
      </c>
      <c r="C54" s="3">
        <v>1</v>
      </c>
      <c r="D54" s="3" t="s">
        <v>227</v>
      </c>
      <c r="E54" s="3" t="s">
        <v>228</v>
      </c>
      <c r="F54" s="4" t="s">
        <v>27</v>
      </c>
      <c r="G54" s="4" t="s">
        <v>229</v>
      </c>
      <c r="H54" s="4" t="s">
        <v>229</v>
      </c>
      <c r="I54" s="5" t="s">
        <v>4</v>
      </c>
      <c r="J54" s="4" t="s">
        <v>27</v>
      </c>
    </row>
    <row r="55" ht="34" customHeight="1" spans="1:10">
      <c r="A55" s="3">
        <v>52</v>
      </c>
      <c r="B55" s="4" t="s">
        <v>170</v>
      </c>
      <c r="C55" s="3">
        <v>1</v>
      </c>
      <c r="D55" s="3" t="s">
        <v>278</v>
      </c>
      <c r="E55" s="3" t="s">
        <v>279</v>
      </c>
      <c r="F55" s="4" t="s">
        <v>27</v>
      </c>
      <c r="G55" s="4" t="s">
        <v>27</v>
      </c>
      <c r="H55" s="4" t="s">
        <v>280</v>
      </c>
      <c r="I55" s="5" t="s">
        <v>4</v>
      </c>
      <c r="J55" s="4" t="s">
        <v>27</v>
      </c>
    </row>
    <row r="56" ht="34" customHeight="1" spans="1:10">
      <c r="A56" s="3">
        <v>53</v>
      </c>
      <c r="B56" s="4" t="s">
        <v>162</v>
      </c>
      <c r="C56" s="3">
        <v>1</v>
      </c>
      <c r="D56" s="3" t="s">
        <v>230</v>
      </c>
      <c r="E56" s="3" t="s">
        <v>231</v>
      </c>
      <c r="F56" s="4" t="s">
        <v>27</v>
      </c>
      <c r="G56" s="4" t="s">
        <v>269</v>
      </c>
      <c r="H56" s="4" t="s">
        <v>276</v>
      </c>
      <c r="I56" s="5" t="s">
        <v>4</v>
      </c>
      <c r="J56" s="4" t="s">
        <v>27</v>
      </c>
    </row>
    <row r="57" ht="34" customHeight="1" spans="1:10">
      <c r="A57" s="3">
        <v>54</v>
      </c>
      <c r="B57" s="4" t="s">
        <v>165</v>
      </c>
      <c r="C57" s="3">
        <v>1</v>
      </c>
      <c r="D57" s="3" t="s">
        <v>230</v>
      </c>
      <c r="E57" s="3" t="s">
        <v>231</v>
      </c>
      <c r="F57" s="4" t="s">
        <v>27</v>
      </c>
      <c r="G57" s="4" t="s">
        <v>269</v>
      </c>
      <c r="H57" s="4" t="s">
        <v>277</v>
      </c>
      <c r="I57" s="5" t="s">
        <v>4</v>
      </c>
      <c r="J57" s="4" t="s">
        <v>27</v>
      </c>
    </row>
    <row r="58" ht="34" customHeight="1" spans="1:10">
      <c r="A58" s="3">
        <v>55</v>
      </c>
      <c r="B58" s="4" t="s">
        <v>168</v>
      </c>
      <c r="C58" s="3">
        <v>1</v>
      </c>
      <c r="D58" s="3" t="s">
        <v>227</v>
      </c>
      <c r="E58" s="3" t="s">
        <v>228</v>
      </c>
      <c r="F58" s="4" t="s">
        <v>27</v>
      </c>
      <c r="G58" s="4" t="s">
        <v>229</v>
      </c>
      <c r="H58" s="4" t="s">
        <v>229</v>
      </c>
      <c r="I58" s="5" t="s">
        <v>4</v>
      </c>
      <c r="J58" s="4" t="s">
        <v>27</v>
      </c>
    </row>
    <row r="59" ht="34" customHeight="1" spans="1:10">
      <c r="A59" s="3">
        <v>56</v>
      </c>
      <c r="B59" s="4" t="s">
        <v>170</v>
      </c>
      <c r="C59" s="3">
        <v>1</v>
      </c>
      <c r="D59" s="3" t="s">
        <v>278</v>
      </c>
      <c r="E59" s="3" t="s">
        <v>279</v>
      </c>
      <c r="F59" s="4" t="s">
        <v>27</v>
      </c>
      <c r="G59" s="4" t="s">
        <v>27</v>
      </c>
      <c r="H59" s="4" t="s">
        <v>280</v>
      </c>
      <c r="I59" s="5" t="s">
        <v>4</v>
      </c>
      <c r="J59" s="4" t="s">
        <v>27</v>
      </c>
    </row>
    <row r="60" ht="34" customHeight="1" spans="1:10">
      <c r="A60" s="3">
        <v>57</v>
      </c>
      <c r="B60" s="4" t="s">
        <v>174</v>
      </c>
      <c r="C60" s="3">
        <v>1</v>
      </c>
      <c r="D60" s="3" t="s">
        <v>230</v>
      </c>
      <c r="E60" s="3" t="s">
        <v>231</v>
      </c>
      <c r="F60" s="4" t="s">
        <v>27</v>
      </c>
      <c r="G60" s="4" t="s">
        <v>239</v>
      </c>
      <c r="H60" s="4" t="s">
        <v>281</v>
      </c>
      <c r="I60" s="5" t="s">
        <v>4</v>
      </c>
      <c r="J60" s="4" t="s">
        <v>27</v>
      </c>
    </row>
    <row r="61" ht="34" customHeight="1" spans="1:10">
      <c r="A61" s="3">
        <v>58</v>
      </c>
      <c r="B61" s="4" t="s">
        <v>176</v>
      </c>
      <c r="C61" s="3">
        <v>1</v>
      </c>
      <c r="D61" s="3" t="s">
        <v>227</v>
      </c>
      <c r="E61" s="3" t="s">
        <v>228</v>
      </c>
      <c r="F61" s="4" t="s">
        <v>27</v>
      </c>
      <c r="G61" s="4" t="s">
        <v>229</v>
      </c>
      <c r="H61" s="4" t="s">
        <v>229</v>
      </c>
      <c r="I61" s="5" t="s">
        <v>4</v>
      </c>
      <c r="J61" s="4" t="s">
        <v>27</v>
      </c>
    </row>
    <row r="62" ht="34" customHeight="1" spans="1:10">
      <c r="A62" s="3">
        <v>59</v>
      </c>
      <c r="B62" s="4" t="s">
        <v>179</v>
      </c>
      <c r="C62" s="3">
        <v>1</v>
      </c>
      <c r="D62" s="3" t="s">
        <v>230</v>
      </c>
      <c r="E62" s="3" t="s">
        <v>231</v>
      </c>
      <c r="F62" s="4" t="s">
        <v>27</v>
      </c>
      <c r="G62" s="4" t="s">
        <v>239</v>
      </c>
      <c r="H62" s="4" t="s">
        <v>282</v>
      </c>
      <c r="I62" s="5" t="s">
        <v>4</v>
      </c>
      <c r="J62" s="4" t="s">
        <v>27</v>
      </c>
    </row>
    <row r="63" ht="34" customHeight="1" spans="1:10">
      <c r="A63" s="3">
        <v>60</v>
      </c>
      <c r="B63" s="4" t="s">
        <v>182</v>
      </c>
      <c r="C63" s="3">
        <v>1</v>
      </c>
      <c r="D63" s="3" t="s">
        <v>230</v>
      </c>
      <c r="E63" s="3" t="s">
        <v>231</v>
      </c>
      <c r="F63" s="4" t="s">
        <v>27</v>
      </c>
      <c r="G63" s="4" t="s">
        <v>239</v>
      </c>
      <c r="H63" s="4" t="s">
        <v>283</v>
      </c>
      <c r="I63" s="5" t="s">
        <v>4</v>
      </c>
      <c r="J63" s="4" t="s">
        <v>27</v>
      </c>
    </row>
    <row r="64" ht="34" customHeight="1" spans="1:10">
      <c r="A64" s="3">
        <v>61</v>
      </c>
      <c r="B64" s="4" t="s">
        <v>185</v>
      </c>
      <c r="C64" s="3">
        <v>1</v>
      </c>
      <c r="D64" s="3" t="s">
        <v>230</v>
      </c>
      <c r="E64" s="3" t="s">
        <v>231</v>
      </c>
      <c r="F64" s="4" t="s">
        <v>27</v>
      </c>
      <c r="G64" s="4" t="s">
        <v>239</v>
      </c>
      <c r="H64" s="4" t="s">
        <v>284</v>
      </c>
      <c r="I64" s="5" t="s">
        <v>4</v>
      </c>
      <c r="J64" s="4" t="s">
        <v>27</v>
      </c>
    </row>
    <row r="65" ht="34" customHeight="1" spans="1:10">
      <c r="A65" s="3">
        <v>62</v>
      </c>
      <c r="B65" s="4" t="s">
        <v>188</v>
      </c>
      <c r="C65" s="3">
        <v>1</v>
      </c>
      <c r="D65" s="3" t="s">
        <v>230</v>
      </c>
      <c r="E65" s="3" t="s">
        <v>231</v>
      </c>
      <c r="F65" s="4" t="s">
        <v>27</v>
      </c>
      <c r="G65" s="4" t="s">
        <v>239</v>
      </c>
      <c r="H65" s="4" t="s">
        <v>285</v>
      </c>
      <c r="I65" s="5" t="s">
        <v>4</v>
      </c>
      <c r="J65" s="4" t="s">
        <v>27</v>
      </c>
    </row>
    <row r="66" ht="34" customHeight="1" spans="1:10">
      <c r="A66" s="3">
        <v>63</v>
      </c>
      <c r="B66" s="4" t="s">
        <v>191</v>
      </c>
      <c r="C66" s="3">
        <v>1</v>
      </c>
      <c r="D66" s="3" t="s">
        <v>230</v>
      </c>
      <c r="E66" s="3" t="s">
        <v>231</v>
      </c>
      <c r="F66" s="4" t="s">
        <v>27</v>
      </c>
      <c r="G66" s="4" t="s">
        <v>269</v>
      </c>
      <c r="H66" s="4" t="s">
        <v>286</v>
      </c>
      <c r="I66" s="5" t="s">
        <v>4</v>
      </c>
      <c r="J66" s="4" t="s">
        <v>27</v>
      </c>
    </row>
    <row r="67" ht="34" customHeight="1" spans="1:10">
      <c r="A67" s="3">
        <v>64</v>
      </c>
      <c r="B67" s="4" t="s">
        <v>194</v>
      </c>
      <c r="C67" s="3">
        <v>1</v>
      </c>
      <c r="D67" s="3" t="s">
        <v>230</v>
      </c>
      <c r="E67" s="3" t="s">
        <v>231</v>
      </c>
      <c r="F67" s="4" t="s">
        <v>27</v>
      </c>
      <c r="G67" s="4" t="s">
        <v>269</v>
      </c>
      <c r="H67" s="4" t="s">
        <v>287</v>
      </c>
      <c r="I67" s="5" t="s">
        <v>4</v>
      </c>
      <c r="J67" s="4" t="s">
        <v>27</v>
      </c>
    </row>
    <row r="68" ht="34" customHeight="1" spans="1:10">
      <c r="A68" s="3">
        <v>65</v>
      </c>
      <c r="B68" s="4" t="s">
        <v>198</v>
      </c>
      <c r="C68" s="3">
        <v>1</v>
      </c>
      <c r="D68" s="3" t="s">
        <v>230</v>
      </c>
      <c r="E68" s="3" t="s">
        <v>231</v>
      </c>
      <c r="F68" s="4" t="s">
        <v>27</v>
      </c>
      <c r="G68" s="4" t="s">
        <v>288</v>
      </c>
      <c r="H68" s="4" t="s">
        <v>289</v>
      </c>
      <c r="I68" s="5" t="s">
        <v>4</v>
      </c>
      <c r="J68" s="4" t="s">
        <v>27</v>
      </c>
    </row>
    <row r="69" ht="34" customHeight="1" spans="1:10">
      <c r="A69" s="3">
        <v>66</v>
      </c>
      <c r="B69" s="4" t="s">
        <v>203</v>
      </c>
      <c r="C69" s="3">
        <v>1</v>
      </c>
      <c r="D69" s="3" t="s">
        <v>230</v>
      </c>
      <c r="E69" s="3" t="s">
        <v>231</v>
      </c>
      <c r="F69" s="4" t="s">
        <v>27</v>
      </c>
      <c r="G69" s="4" t="s">
        <v>290</v>
      </c>
      <c r="H69" s="4" t="s">
        <v>291</v>
      </c>
      <c r="I69" s="5" t="s">
        <v>4</v>
      </c>
      <c r="J69" s="4" t="s">
        <v>27</v>
      </c>
    </row>
    <row r="70" ht="34" customHeight="1" spans="1:10">
      <c r="A70" s="3">
        <v>67</v>
      </c>
      <c r="B70" s="4" t="s">
        <v>207</v>
      </c>
      <c r="C70" s="3">
        <v>1</v>
      </c>
      <c r="D70" s="3" t="s">
        <v>230</v>
      </c>
      <c r="E70" s="3" t="s">
        <v>231</v>
      </c>
      <c r="F70" s="4" t="s">
        <v>27</v>
      </c>
      <c r="G70" s="4" t="s">
        <v>288</v>
      </c>
      <c r="H70" s="4" t="s">
        <v>292</v>
      </c>
      <c r="I70" s="5" t="s">
        <v>4</v>
      </c>
      <c r="J70" s="4" t="s">
        <v>27</v>
      </c>
    </row>
    <row r="71" ht="34" customHeight="1" spans="1:10">
      <c r="A71" s="3">
        <v>68</v>
      </c>
      <c r="B71" s="4" t="s">
        <v>211</v>
      </c>
      <c r="C71" s="3">
        <v>1</v>
      </c>
      <c r="D71" s="3" t="s">
        <v>227</v>
      </c>
      <c r="E71" s="3" t="s">
        <v>228</v>
      </c>
      <c r="F71" s="4" t="s">
        <v>27</v>
      </c>
      <c r="G71" s="4" t="s">
        <v>229</v>
      </c>
      <c r="H71" s="4" t="s">
        <v>229</v>
      </c>
      <c r="I71" s="5" t="s">
        <v>4</v>
      </c>
      <c r="J71" s="4" t="s">
        <v>27</v>
      </c>
    </row>
    <row r="72" ht="34" customHeight="1" spans="1:10">
      <c r="A72" s="3">
        <v>69</v>
      </c>
      <c r="B72" s="4" t="s">
        <v>215</v>
      </c>
      <c r="C72" s="3">
        <v>1</v>
      </c>
      <c r="D72" s="3" t="s">
        <v>227</v>
      </c>
      <c r="E72" s="3" t="s">
        <v>228</v>
      </c>
      <c r="F72" s="4" t="s">
        <v>27</v>
      </c>
      <c r="G72" s="4" t="s">
        <v>229</v>
      </c>
      <c r="H72" s="4" t="s">
        <v>229</v>
      </c>
      <c r="I72" s="5" t="s">
        <v>4</v>
      </c>
      <c r="J72" s="4" t="s">
        <v>27</v>
      </c>
    </row>
  </sheetData>
  <autoFilter xmlns:etc="http://www.wps.cn/officeDocument/2017/etCustomData" ref="A3:J72" etc:filterBottomFollowUsedRange="0">
    <extLst/>
  </autoFilter>
  <mergeCells count="1">
    <mergeCell ref="A1:J1"/>
  </mergeCells>
  <pageMargins left="0.7" right="0.7" top="0.75" bottom="0.7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用例清单</vt:lpstr>
      <vt:lpstr>断言明细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北斗天地股份有限公司</dc:creator>
  <cp:lastModifiedBy>mrqdl</cp:lastModifiedBy>
  <dcterms:created xsi:type="dcterms:W3CDTF">2026-09-16T07:52:00Z</dcterms:created>
  <dcterms:modified xsi:type="dcterms:W3CDTF">2026-09-17T01:13:01Z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CDFC7E50826B4F5E862687ED9E543E58_12</vt:lpwstr>
  </property>
  <property fmtid="{D5CDD505-2E9C-101B-9397-08002B2CF9AE}" pid="3" name="KSOProductBuildVer">
    <vt:lpwstr>2052-12.1.0.18276</vt:lpwstr>
  </property>
</Properties>
</file>